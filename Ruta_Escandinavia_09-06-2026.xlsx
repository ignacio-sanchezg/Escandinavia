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ta con destinos" sheetId="1" state="visible" r:id="rId3"/>
    <sheet name="Ruta completa" sheetId="2" state="visible" r:id="rId4"/>
    <sheet name="Buscar alojamientos" sheetId="3" state="visible" r:id="rId5"/>
  </sheets>
  <definedNames>
    <definedName function="false" hidden="true" localSheetId="0" name="_xlnm._FilterDatabase" vbProcedure="false">'Ruta con destinos'!$A$1:$L$1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<sst xmlns="http://schemas.openxmlformats.org/spreadsheetml/2006/main" count="654" uniqueCount="407">
  <si>
    <t xml:space="preserve">Día de ruta</t>
  </si>
  <si>
    <t xml:space="preserve">Dormir en</t>
  </si>
  <si>
    <t xml:space="preserve">Fecha</t>
  </si>
  <si>
    <t xml:space="preserve">Ubicación / Descripción</t>
  </si>
  <si>
    <t xml:space="preserve">Distancia / Tiempo</t>
  </si>
  <si>
    <t xml:space="preserve">Actividades principales</t>
  </si>
  <si>
    <t xml:space="preserve">Alojamiento</t>
  </si>
  <si>
    <t xml:space="preserve">Estado Reserva</t>
  </si>
  <si>
    <t xml:space="preserve">Precio €</t>
  </si>
  <si>
    <t xml:space="preserve">Imprescindible</t>
  </si>
  <si>
    <t xml:space="preserve">Notas / Tips </t>
  </si>
  <si>
    <t xml:space="preserve">Día 01</t>
  </si>
  <si>
    <t xml:space="preserve">Copenhague</t>
  </si>
  <si>
    <t xml:space="preserve">Vuelo Norwegian D8 3657 BCN→CPH</t>
  </si>
  <si>
    <t xml:space="preserve">BCN T2 12:40 → CPH T3 15:35</t>
  </si>
  <si>
    <t xml:space="preserve">Vuelo directo Norwegian Air Sweden (281,20€ los 2). Loc: XRTPUA.</t>
  </si>
  <si>
    <t xml:space="preserve">Go Hotel City · Amager Øst</t>
  </si>
  <si>
    <t xml:space="preserve">Confirmada</t>
  </si>
  <si>
    <t xml:space="preserve">Sí</t>
  </si>
  <si>
    <t xml:space="preserve">Norwegian. Maleta facturada incluida (LowFare+)</t>
  </si>
  <si>
    <t xml:space="preserve">Metro M2 al hotel</t>
  </si>
  <si>
    <t xml:space="preserve">15:50 · Aeropuerto → Lergravsparken</t>
  </si>
  <si>
    <t xml:space="preserve">Metro M2 desde T3, 15 min. Bajar en Lergravsparken.</t>
  </si>
  <si>
    <t xml:space="preserve">Go Hotel City en Amager Øst</t>
  </si>
  <si>
    <t xml:space="preserve">Check-in Go Hotel City</t>
  </si>
  <si>
    <t xml:space="preserve">16:30</t>
  </si>
  <si>
    <t xml:space="preserve">Dejar maletas y café antes de la ruta.</t>
  </si>
  <si>
    <t xml:space="preserve">Score 8.0 Booking. Reserva confirmada</t>
  </si>
  <si>
    <t xml:space="preserve">Nyhavn</t>
  </si>
  <si>
    <t xml:space="preserve">17:00 · Metro a Kongens Nytorv</t>
  </si>
  <si>
    <t xml:space="preserve">Casitas de colores y barcos. La postal de Copenhague.</t>
  </si>
  <si>
    <t xml:space="preserve">Turístico pero obligatorio</t>
  </si>
  <si>
    <t xml:space="preserve">Iglesia de Mármol</t>
  </si>
  <si>
    <t xml:space="preserve">17:30 · 5 min andando</t>
  </si>
  <si>
    <t xml:space="preserve">Cúpula más grande de Escandinavia. Gratis.</t>
  </si>
  <si>
    <t xml:space="preserve">Junto a Amalienborg</t>
  </si>
  <si>
    <t xml:space="preserve">Palacio Amalienborg</t>
  </si>
  <si>
    <t xml:space="preserve">17:45 · 2 min andando</t>
  </si>
  <si>
    <t xml:space="preserve">Plaza octogonal con los 4 palacios reales.</t>
  </si>
  <si>
    <t xml:space="preserve">Cambio de guardia 12h</t>
  </si>
  <si>
    <t xml:space="preserve">Fuente de Gefion</t>
  </si>
  <si>
    <t xml:space="preserve">18:00 · 5 min andando</t>
  </si>
  <si>
    <t xml:space="preserve">Fuente monumental: diosa arando con 4 bueyes.</t>
  </si>
  <si>
    <t xml:space="preserve">De paso a Kastellet</t>
  </si>
  <si>
    <t xml:space="preserve">Kastellet</t>
  </si>
  <si>
    <t xml:space="preserve">18:15 · 2 min andando</t>
  </si>
  <si>
    <t xml:space="preserve">Fortaleza-estrella con foso y molino. Gratis.</t>
  </si>
  <si>
    <t xml:space="preserve">Molino y Memorial Anchor de paso</t>
  </si>
  <si>
    <t xml:space="preserve">Vuelta a Vesterbro</t>
  </si>
  <si>
    <t xml:space="preserve">19:00 · Bus o metro</t>
  </si>
  <si>
    <t xml:space="preserve">Vuelta antes de la cena.</t>
  </si>
  <si>
    <t xml:space="preserve">Cena: Gorilla</t>
  </si>
  <si>
    <t xml:space="preserve">Flæsketorvet 100 · Flæsketorvet 100 · 19:30</t>
  </si>
  <si>
    <t xml:space="preserve">Pescado y marisco. RESERVAR 3-4 sem antes.</t>
  </si>
  <si>
    <t xml:space="preserve">A las 21h cierra cocina</t>
  </si>
  <si>
    <t xml:space="preserve">A1</t>
  </si>
  <si>
    <t xml:space="preserve">Alternativa día 1</t>
  </si>
  <si>
    <t xml:space="preserve">Charlottenburg + Kongens Nytorv</t>
  </si>
  <si>
    <t xml:space="preserve">Junto a Nyhavn</t>
  </si>
  <si>
    <t xml:space="preserve">Plan B paseo.</t>
  </si>
  <si>
    <t xml:space="preserve">-</t>
  </si>
  <si>
    <t xml:space="preserve">Reserva</t>
  </si>
  <si>
    <t xml:space="preserve">A2</t>
  </si>
  <si>
    <t xml:space="preserve">Magasin du Nord</t>
  </si>
  <si>
    <t xml:space="preserve">Kongens Nytorv</t>
  </si>
  <si>
    <t xml:space="preserve">Refugio si llueve.</t>
  </si>
  <si>
    <t xml:space="preserve">Plan lluvia</t>
  </si>
  <si>
    <t xml:space="preserve">A3</t>
  </si>
  <si>
    <t xml:space="preserve">Bastard Café</t>
  </si>
  <si>
    <t xml:space="preserve">Indre By</t>
  </si>
  <si>
    <t xml:space="preserve">Plan B nocturno con juegos de mesa.</t>
  </si>
  <si>
    <t xml:space="preserve">Día 02</t>
  </si>
  <si>
    <t xml:space="preserve">Castillo de Rosenborg</t>
  </si>
  <si>
    <t xml:space="preserve">9:30 · Metro a Nørreport</t>
  </si>
  <si>
    <t xml:space="preserve">Castillo s.XVII con joyas de la Corona. ~120 DKK.</t>
  </si>
  <si>
    <t xml:space="preserve">Go Hotel City</t>
  </si>
  <si>
    <t xml:space="preserve">Joyas de la Corona danesa</t>
  </si>
  <si>
    <t xml:space="preserve">Jardines del Rey</t>
  </si>
  <si>
    <t xml:space="preserve">11:30 · 0 min</t>
  </si>
  <si>
    <t xml:space="preserve">Parque más popular de la ciudad, gratis.</t>
  </si>
  <si>
    <t xml:space="preserve">Saliendo de Rosenborg</t>
  </si>
  <si>
    <t xml:space="preserve">Almuerzo Schønnemann</t>
  </si>
  <si>
    <t xml:space="preserve">Hauser Pl. 16 · 13:00</t>
  </si>
  <si>
    <t xml:space="preserve">Smørrebrød tradicional desde 1877.</t>
  </si>
  <si>
    <t xml:space="preserve">RESERVA 1 sem antes</t>
  </si>
  <si>
    <t xml:space="preserve">Christiansborg + torre</t>
  </si>
  <si>
    <t xml:space="preserve">15:00 · 15 min andando</t>
  </si>
  <si>
    <t xml:space="preserve">Palacio del Parlamento. TORRE GRATIS con vistas.</t>
  </si>
  <si>
    <t xml:space="preserve">Strøget, Højbro Pl, Diamante Negro de paso</t>
  </si>
  <si>
    <t xml:space="preserve">Fika La Glace</t>
  </si>
  <si>
    <t xml:space="preserve">Skoubogade 3 · 17:30</t>
  </si>
  <si>
    <t xml:space="preserve">Pastelería más antigua de Dinamarca (1870).</t>
  </si>
  <si>
    <t xml:space="preserve">Wienerbrød auténtico</t>
  </si>
  <si>
    <t xml:space="preserve">Showrooms 3daysofdesign</t>
  </si>
  <si>
    <t xml:space="preserve">18:30 · Indre By o Vesterbro</t>
  </si>
  <si>
    <t xml:space="preserve">Showrooms abiertos del festival.</t>
  </si>
  <si>
    <t xml:space="preserve">Media</t>
  </si>
  <si>
    <t xml:space="preserve">Hay, &amp;Tradition, Gubi, Fritz Hansen</t>
  </si>
  <si>
    <t xml:space="preserve">Cena en Vesterbro</t>
  </si>
  <si>
    <t xml:space="preserve">19:30</t>
  </si>
  <si>
    <t xml:space="preserve">Mother (pizza) o Pony.</t>
  </si>
  <si>
    <t xml:space="preserve">A4</t>
  </si>
  <si>
    <t xml:space="preserve">Alternativa día 2</t>
  </si>
  <si>
    <t xml:space="preserve">Rundetårn</t>
  </si>
  <si>
    <t xml:space="preserve">Si Christiansborg cerrado.</t>
  </si>
  <si>
    <t xml:space="preserve">A5</t>
  </si>
  <si>
    <t xml:space="preserve">Jardín Botánico</t>
  </si>
  <si>
    <t xml:space="preserve">Junto a Rosenborg</t>
  </si>
  <si>
    <t xml:space="preserve">Plan B mañana.</t>
  </si>
  <si>
    <t xml:space="preserve">A6</t>
  </si>
  <si>
    <t xml:space="preserve">Museo Nacional Dinamarca</t>
  </si>
  <si>
    <t xml:space="preserve">DÍA DE LLUVIA.</t>
  </si>
  <si>
    <t xml:space="preserve">A7</t>
  </si>
  <si>
    <t xml:space="preserve">Domhusets/Paludan</t>
  </si>
  <si>
    <t xml:space="preserve">Si Schønnemann lleno.</t>
  </si>
  <si>
    <t xml:space="preserve">Día 03</t>
  </si>
  <si>
    <t xml:space="preserve">Coche Estación Central</t>
  </si>
  <si>
    <t xml:space="preserve">Recogida 9:00</t>
  </si>
  <si>
    <t xml:space="preserve">Europcar · Toyota Yaris Cross automático · CPH Airport Car Rental Centre. Seguro Zurich Full Insurance incluido. CONFIRMADO</t>
  </si>
  <si>
    <t xml:space="preserve">Riviera danesa</t>
  </si>
  <si>
    <t xml:space="preserve">Frederiksborg</t>
  </si>
  <si>
    <t xml:space="preserve">45 km – 45 min</t>
  </si>
  <si>
    <t xml:space="preserve">"Versalles danés". ~90 DKK/persona.</t>
  </si>
  <si>
    <t xml:space="preserve">Capilla original sobrevivió incendio 1859</t>
  </si>
  <si>
    <t xml:space="preserve">Almuerzo Helsingør</t>
  </si>
  <si>
    <t xml:space="preserve">40 km – 40 min</t>
  </si>
  <si>
    <t xml:space="preserve">Pescado fresco. Madam Sprunck.</t>
  </si>
  <si>
    <t xml:space="preserve">Kronborg solo desde fuera</t>
  </si>
  <si>
    <t xml:space="preserve">Louisiana Museum</t>
  </si>
  <si>
    <t xml:space="preserve">15 km – 15 min</t>
  </si>
  <si>
    <t xml:space="preserve">Arte moderno + jardín esculturas. ~145 DKK.</t>
  </si>
  <si>
    <t xml:space="preserve">JUEVES abre hasta 22h</t>
  </si>
  <si>
    <t xml:space="preserve">Vuelta directa CPH</t>
  </si>
  <si>
    <t xml:space="preserve">50 min · E47</t>
  </si>
  <si>
    <t xml:space="preserve">Devolución del coche.</t>
  </si>
  <si>
    <t xml:space="preserve">A8</t>
  </si>
  <si>
    <t xml:space="preserve">Alternativa día 3</t>
  </si>
  <si>
    <t xml:space="preserve">Jægersborg Dyrehave</t>
  </si>
  <si>
    <t xml:space="preserve">En la vuelta</t>
  </si>
  <si>
    <t xml:space="preserve">Reserva natural ciervos.</t>
  </si>
  <si>
    <t xml:space="preserve">Día 04</t>
  </si>
  <si>
    <t xml:space="preserve">Copenhague→Estocolmo</t>
  </si>
  <si>
    <t xml:space="preserve">Mañana lenta Vesterbro</t>
  </si>
  <si>
    <t xml:space="preserve">9:30</t>
  </si>
  <si>
    <t xml:space="preserve">Desayuno tranquilo, café, paseo.</t>
  </si>
  <si>
    <t xml:space="preserve">Vuelo nocturno · Good Morning Arlanda</t>
  </si>
  <si>
    <t xml:space="preserve">Día cargado, empezar relajados | Go Hotel City confirma guardaequipaje gratuito día 4 hasta las 19:00. Maletas en el hotel mientras exploráis Christianshavn.</t>
  </si>
  <si>
    <t xml:space="preserve">Iglesia San Salvador</t>
  </si>
  <si>
    <t xml:space="preserve">11:30 · Metro M1 Christianshavn</t>
  </si>
  <si>
    <t xml:space="preserve">Escalera caracol exterior dorada. 400 escalones.</t>
  </si>
  <si>
    <t xml:space="preserve">Una de las mejores vistas. ~70 DKK</t>
  </si>
  <si>
    <t xml:space="preserve">Christiania</t>
  </si>
  <si>
    <t xml:space="preserve">13:00 · 10 min andando</t>
  </si>
  <si>
    <t xml:space="preserve">Comuna alternativa 1971. Almuerzo dentro.</t>
  </si>
  <si>
    <t xml:space="preserve">NO fotos en Pusher Street</t>
  </si>
  <si>
    <t xml:space="preserve">Green George</t>
  </si>
  <si>
    <t xml:space="preserve">15:30 · 10 min andando</t>
  </si>
  <si>
    <t xml:space="preserve">Escultura troll Thomas Dambo.</t>
  </si>
  <si>
    <t xml:space="preserve">CopenHill</t>
  </si>
  <si>
    <t xml:space="preserve">16:30 · Bus 2A</t>
  </si>
  <si>
    <t xml:space="preserve">Subida rampa de césped. Vista 360°.</t>
  </si>
  <si>
    <t xml:space="preserve">Diseño BIG. Gratis</t>
  </si>
  <si>
    <t xml:space="preserve">La Banchina</t>
  </si>
  <si>
    <t xml:space="preserve">18:00 · 15 min andando</t>
  </si>
  <si>
    <t xml:space="preserve">Vino natural junto al puerto.</t>
  </si>
  <si>
    <t xml:space="preserve">Cierre nórdico</t>
  </si>
  <si>
    <t xml:space="preserve">Cena rápida CPH</t>
  </si>
  <si>
    <t xml:space="preserve">19:00 · Vesterbro</t>
  </si>
  <si>
    <t xml:space="preserve">Cena ligera antes del vuelo.</t>
  </si>
  <si>
    <t xml:space="preserve">Aeropuerto CPH T3</t>
  </si>
  <si>
    <t xml:space="preserve">19:25 · Metro M2</t>
  </si>
  <si>
    <t xml:space="preserve">Llegada con margen 2h antes.</t>
  </si>
  <si>
    <t xml:space="preserve">Vuelo SAS SK 1410</t>
  </si>
  <si>
    <t xml:space="preserve">CPH T3 21:25 → ARN T5 22:35</t>
  </si>
  <si>
    <t xml:space="preserve">SAS Loc XB6YN5 · Asientos 18E+18F · 2 maletas facturadas.</t>
  </si>
  <si>
    <t xml:space="preserve">236,82€ los 2</t>
  </si>
  <si>
    <t xml:space="preserve">Lanzadera al hotel</t>
  </si>
  <si>
    <t xml:space="preserve">23:00 · Shuttle gratis</t>
  </si>
  <si>
    <t xml:space="preserve">Lanzadera Good Morning Arlanda gratuita.</t>
  </si>
  <si>
    <t xml:space="preserve">Good Morning Arlanda</t>
  </si>
  <si>
    <t xml:space="preserve">Check-in Good Morning</t>
  </si>
  <si>
    <t xml:space="preserve">23:30</t>
  </si>
  <si>
    <t xml:space="preserve">Recepción 24h. Score 8.1 con 16k reseñas.</t>
  </si>
  <si>
    <t xml:space="preserve">121€ 1 noche - CONFIRMADA</t>
  </si>
  <si>
    <t xml:space="preserve">A9</t>
  </si>
  <si>
    <t xml:space="preserve">Alternativa día 4</t>
  </si>
  <si>
    <t xml:space="preserve">Reffen Street Food</t>
  </si>
  <si>
    <t xml:space="preserve">Junto CopenHill</t>
  </si>
  <si>
    <t xml:space="preserve">Plan B cena.</t>
  </si>
  <si>
    <t xml:space="preserve">A10</t>
  </si>
  <si>
    <t xml:space="preserve">Christiania Art Gallery</t>
  </si>
  <si>
    <t xml:space="preserve">En Christiania</t>
  </si>
  <si>
    <t xml:space="preserve">Si os engancha.</t>
  </si>
  <si>
    <t xml:space="preserve">Día 05</t>
  </si>
  <si>
    <t xml:space="preserve">Estocolmo</t>
  </si>
  <si>
    <t xml:space="preserve">Desayuno Good Morning</t>
  </si>
  <si>
    <t xml:space="preserve">8:00</t>
  </si>
  <si>
    <t xml:space="preserve">Desayuno antes de salir.</t>
  </si>
  <si>
    <t xml:space="preserve">voco Stockholm Kista</t>
  </si>
  <si>
    <t xml:space="preserve">Lanzadera al aeropuerto</t>
  </si>
  <si>
    <t xml:space="preserve">9:00 · Shuttle gratis</t>
  </si>
  <si>
    <t xml:space="preserve">Volver al aeropuerto.</t>
  </si>
  <si>
    <t xml:space="preserve">Pendeltåg Arlanda→Helenelund</t>
  </si>
  <si>
    <t xml:space="preserve">9:15 · 18 min</t>
  </si>
  <si>
    <t xml:space="preserve">Tren con recargo aeropuerto (24€ los 2).</t>
  </si>
  <si>
    <t xml:space="preserve">Helenelund a 8 min del voco</t>
  </si>
  <si>
    <t xml:space="preserve">Dejar maletas voco Kista</t>
  </si>
  <si>
    <t xml:space="preserve">10:00 · 8 min andando</t>
  </si>
  <si>
    <t xml:space="preserve">Servicio guardaequipaje gratis.</t>
  </si>
  <si>
    <t xml:space="preserve">Avisar check-in tardío noche</t>
  </si>
  <si>
    <t xml:space="preserve">Comprar SL 72h app</t>
  </si>
  <si>
    <t xml:space="preserve">10:30 · App SL Access</t>
  </si>
  <si>
    <t xml:space="preserve">310 SEK x 2 = ~56€. Validar antes metro.</t>
  </si>
  <si>
    <t xml:space="preserve">NO incluye Arlanda Express</t>
  </si>
  <si>
    <t xml:space="preserve">Metro azul T11 al centro</t>
  </si>
  <si>
    <t xml:space="preserve">10:30 · 22 min</t>
  </si>
  <si>
    <t xml:space="preserve">Kista → T-Centralen.</t>
  </si>
  <si>
    <t xml:space="preserve">Gamla Stan</t>
  </si>
  <si>
    <t xml:space="preserve">Mañana sin agenda</t>
  </si>
  <si>
    <t xml:space="preserve">Stortorget, Storkyrkan, Mårten Trotzigs.</t>
  </si>
  <si>
    <t xml:space="preserve">No corráis</t>
  </si>
  <si>
    <t xml:space="preserve">Palacio Real</t>
  </si>
  <si>
    <t xml:space="preserve">Cambio guardia 12:15 sábado.</t>
  </si>
  <si>
    <t xml:space="preserve">Stadshuset</t>
  </si>
  <si>
    <t xml:space="preserve">12:30 · Hantverkargatan 1</t>
  </si>
  <si>
    <t xml:space="preserve">Tour 45 min Salón Dorado y Azul.</t>
  </si>
  <si>
    <t xml:space="preserve">Ticket en taquilla</t>
  </si>
  <si>
    <t xml:space="preserve">Saluhall</t>
  </si>
  <si>
    <t xml:space="preserve">14:30 · Östermalmstorg</t>
  </si>
  <si>
    <t xml:space="preserve">Toast Skagen Lisa Elmqvist.</t>
  </si>
  <si>
    <t xml:space="preserve">Fika Vete Katten</t>
  </si>
  <si>
    <t xml:space="preserve">Kungsgatan 55 · 16:30</t>
  </si>
  <si>
    <t xml:space="preserve">Café + kanelbulle 45 min sin móvil.</t>
  </si>
  <si>
    <t xml:space="preserve">Cena Pelikan</t>
  </si>
  <si>
    <t xml:space="preserve">Blekingegatan 40 · Blekingegatan 40 · 19:30</t>
  </si>
  <si>
    <t xml:space="preserve">Cervecería 1733. Köttbullar.</t>
  </si>
  <si>
    <t xml:space="preserve">RESERVA 1 SEM antes</t>
  </si>
  <si>
    <t xml:space="preserve">Skinnarviksberget atardecer</t>
  </si>
  <si>
    <t xml:space="preserve">21:30</t>
  </si>
  <si>
    <t xml:space="preserve">Mirador con vistas al lago Mälaren.</t>
  </si>
  <si>
    <t xml:space="preserve">Llevar manta y cervezas</t>
  </si>
  <si>
    <t xml:space="preserve">Vuelta voco + check-in real</t>
  </si>
  <si>
    <t xml:space="preserve">22:30 · Metro 22 min</t>
  </si>
  <si>
    <t xml:space="preserve">Recepción 24h. Recoger maletas.</t>
  </si>
  <si>
    <t xml:space="preserve">4★ con spa - CONFIRMADA</t>
  </si>
  <si>
    <t xml:space="preserve">A11</t>
  </si>
  <si>
    <t xml:space="preserve">Alternativa día 5</t>
  </si>
  <si>
    <t xml:space="preserve">Museo Nobel</t>
  </si>
  <si>
    <t xml:space="preserve">Stortorget</t>
  </si>
  <si>
    <t xml:space="preserve">Plan B Stadshuset.</t>
  </si>
  <si>
    <t xml:space="preserve">A12</t>
  </si>
  <si>
    <t xml:space="preserve">Svenskt Tenn</t>
  </si>
  <si>
    <t xml:space="preserve">Strandvägen 5</t>
  </si>
  <si>
    <t xml:space="preserve">Tienda Josef Frank.</t>
  </si>
  <si>
    <t xml:space="preserve">Día 06</t>
  </si>
  <si>
    <t xml:space="preserve">Vasa Museum</t>
  </si>
  <si>
    <t xml:space="preserve">8:30 · Tranvía 7</t>
  </si>
  <si>
    <t xml:space="preserve">Galeón s.XVII. CRÍTICO al abrir.</t>
  </si>
  <si>
    <t xml:space="preserve">A las 11h colas brutales</t>
  </si>
  <si>
    <t xml:space="preserve">Museo ABBA (FANS)</t>
  </si>
  <si>
    <t xml:space="preserve">10:30 · 5 min Vasa</t>
  </si>
  <si>
    <t xml:space="preserve">SOLO si sois fans. 24€/persona.</t>
  </si>
  <si>
    <t xml:space="preserve">Si dudáis, fuera</t>
  </si>
  <si>
    <t xml:space="preserve">Skansen</t>
  </si>
  <si>
    <t xml:space="preserve">12:00 · 5 min</t>
  </si>
  <si>
    <t xml:space="preserve">Museo aire libre. Casas históricas + zoo.</t>
  </si>
  <si>
    <t xml:space="preserve">Artesanos vestidos época</t>
  </si>
  <si>
    <t xml:space="preserve">Almuerzo Rosendals</t>
  </si>
  <si>
    <t xml:space="preserve">14:00 · 15 min andando</t>
  </si>
  <si>
    <t xml:space="preserve">Jardín ecológico, mesas bajo manzanos.</t>
  </si>
  <si>
    <t xml:space="preserve">Kanelbulle de leña</t>
  </si>
  <si>
    <t xml:space="preserve">Vuelta hacia centro</t>
  </si>
  <si>
    <t xml:space="preserve">15:30 · Tranvía 7</t>
  </si>
  <si>
    <t xml:space="preserve">Café cerca Sergels Torg.</t>
  </si>
  <si>
    <t xml:space="preserve">RESERVADO Subway Tour</t>
  </si>
  <si>
    <t xml:space="preserve">17:00 · Plaza Sergel</t>
  </si>
  <si>
    <t xml:space="preserve">A38809069 · 2 personas · tour metro Estocolmo.</t>
  </si>
  <si>
    <t xml:space="preserve">Llegar 15 min antes</t>
  </si>
  <si>
    <t xml:space="preserve">Cena cerca centro</t>
  </si>
  <si>
    <t xml:space="preserve">~~19:30</t>
  </si>
  <si>
    <t xml:space="preserve">Al acabar el tour.</t>
  </si>
  <si>
    <t xml:space="preserve">Atardecer Fotografiska</t>
  </si>
  <si>
    <t xml:space="preserve">21:00</t>
  </si>
  <si>
    <t xml:space="preserve">Restaurante azotea con vistas Gamla Stan.</t>
  </si>
  <si>
    <t xml:space="preserve">Solo restaurante</t>
  </si>
  <si>
    <t xml:space="preserve">Tantolunden</t>
  </si>
  <si>
    <t xml:space="preserve">22:30 · 10 min Söder</t>
  </si>
  <si>
    <t xml:space="preserve">Parque junto al lago. Luz hasta 23:30.</t>
  </si>
  <si>
    <t xml:space="preserve">OJO: dom último metro 01:00</t>
  </si>
  <si>
    <t xml:space="preserve">A13</t>
  </si>
  <si>
    <t xml:space="preserve">Alternativa día 6</t>
  </si>
  <si>
    <t xml:space="preserve">Visby (Gotland)</t>
  </si>
  <si>
    <t xml:space="preserve">SOLO emergencia</t>
  </si>
  <si>
    <t xml:space="preserve">Avión 35 min.</t>
  </si>
  <si>
    <t xml:space="preserve">Día 07</t>
  </si>
  <si>
    <t xml:space="preserve">Vuelo</t>
  </si>
  <si>
    <t xml:space="preserve">Hornstullsstrand mañana</t>
  </si>
  <si>
    <t xml:space="preserve">9:30 · Metro Hornstull</t>
  </si>
  <si>
    <t xml:space="preserve">Bares al agua y barrio.</t>
  </si>
  <si>
    <t xml:space="preserve">Vuelo de regreso</t>
  </si>
  <si>
    <t xml:space="preserve">Sin mercado dominical</t>
  </si>
  <si>
    <t xml:space="preserve">Almuerzo Söder</t>
  </si>
  <si>
    <t xml:space="preserve">11:30</t>
  </si>
  <si>
    <t xml:space="preserve">Algo tranquilo.</t>
  </si>
  <si>
    <t xml:space="preserve">Recoger maletas voco</t>
  </si>
  <si>
    <t xml:space="preserve">12:30-13:30</t>
  </si>
  <si>
    <t xml:space="preserve">Vuelta al hotel a recoger.</t>
  </si>
  <si>
    <t xml:space="preserve">Arlanda Express</t>
  </si>
  <si>
    <t xml:space="preserve">13:45 · Estación Central</t>
  </si>
  <si>
    <t xml:space="preserve">20 min · 30€/persona.</t>
  </si>
  <si>
    <t xml:space="preserve">NO incluido en SL 72h</t>
  </si>
  <si>
    <t xml:space="preserve">Vuelo Norwegian D8 4253</t>
  </si>
  <si>
    <t xml:space="preserve">ARN T5 16:20 → BCN T2 19:45</t>
  </si>
  <si>
    <t xml:space="preserve">Norwegian (561,48€ los 2). Loc: XRUYR6.</t>
  </si>
  <si>
    <t xml:space="preserve">Maleta facturada incluida</t>
  </si>
  <si>
    <t xml:space="preserve">Tiempo / Distancia</t>
  </si>
  <si>
    <t xml:space="preserve">Actividades</t>
  </si>
  <si>
    <t xml:space="preserve">Pagado</t>
  </si>
  <si>
    <t xml:space="preserve">Restante</t>
  </si>
  <si>
    <t xml:space="preserve">Total</t>
  </si>
  <si>
    <t xml:space="preserve">Día 1</t>
  </si>
  <si>
    <t xml:space="preserve">Vuelo Norwegian D8 3657 BCN T2 12:40 → CPH T3 15:35 (281,20€).
Metro M2 al Go Hotel City (Amager Øst).
Tarde Indre By: Nyhavn → Iglesia Mármol → Amalienborg → Gefion → Kastellet.
Cena Gorilla 20:30.</t>
  </si>
  <si>
    <t xml:space="preserve">Vuelo D8 3657, Indre By, Gorilla Vuelo D8 3657, Indre By, Fiskebar 20:30</t>
  </si>
  <si>
    <t xml:space="preserve">Go Hotel City
Amager Øst, Copenhague
✅ Consigna confirmada hasta vuelo ARN</t>
  </si>
  <si>
    <t xml:space="preserve">Día 2</t>
  </si>
  <si>
    <t xml:space="preserve">Castillo Rosenborg + Jardines del Rey.
Almuerzo Schønnemann (1 sem).
Christiansborg + torre.
Fika La Glace.
Showrooms 3daysofdesign.
Cena Vesterbro 20:30.</t>
  </si>
  <si>
    <t xml:space="preserve">Rosenborg, Christiansborg, La Glace</t>
  </si>
  <si>
    <t xml:space="preserve">Día 3</t>
  </si>
  <si>
    <t xml:space="preserve">Coche 9:00 Estación Central (PENDIENTE RESERVAR).
Frederiksborg, Helsingør, Louisiana hasta 22h.
Vuelta directa por E47.</t>
  </si>
  <si>
    <t xml:space="preserve">Frederiksborg, Helsingør, Louisiana</t>
  </si>
  <si>
    <t xml:space="preserve">Pendiente reservar coche</t>
  </si>
  <si>
    <t xml:space="preserve">Día 4</t>
  </si>
  <si>
    <t xml:space="preserve">Mañana Vesterbro.
11:30 San Salvador (escalera caracol).
13:00 Christiania + Green George.
16:30 CopenHill + 18:00 La Banchina.
19:25 Aeropuerto CPH.
21:25 Vuelo SAS SK 1410 (XB6YN5) asientos 18E+18F.
22:35 Llegada ARN. Lanzadera gratis al hotel.
23:30 Check-in Good Morning Arlanda.
⚠️ Dejar maletas en Go Hotel City hasta las ~19:00 (consigna gratis confirmada)</t>
  </si>
  <si>
    <t xml:space="preserve">San Salvador, Christiania, CopenHill, vuelo SAS nocturno</t>
  </si>
  <si>
    <t xml:space="preserve">Good Morning Arlanda
1 noche</t>
  </si>
  <si>
    <t xml:space="preserve">Día 5</t>
  </si>
  <si>
    <t xml:space="preserve">8:00 Desayuno + 9:00 lanzadera aeropuerto.
9:15 Pendeltåg Arlanda→Helenelund (24€).
10:00 Dejar maletas voco Kista.
10:30 Metro azul al centro.
Gamla Stan + Palacio Real + Stadshuset 12:30.
14:30 Saluhall + 16:30 Vete Katten.
20:30 Cena Pelikan + 21:30 Skinnarviksberget.
22:30 Vuelta voco Kista + check-in real.</t>
  </si>
  <si>
    <t xml:space="preserve">Pendeltåg, Gamla Stan, Stadshuset, Saluhall, Pelikan</t>
  </si>
  <si>
    <t xml:space="preserve">voco Stockholm Kista
2 noches</t>
  </si>
  <si>
    <t xml:space="preserve">Día 6</t>
  </si>
  <si>
    <t xml:space="preserve">8:30 Vasa Museum (CRÍTICO al abrir).
10:30 ABBA (fans only).
12:00 Skansen.
14:00 Almuerzo Rosendals.
15:30 Vuelta al centro.
🎫 17:00 Subway Art Tour RESERVADO (A38809069) - Plaza Sergel.
~20:30 Cena.
21:00 Fotografiska + 22:30 Tantolunden.</t>
  </si>
  <si>
    <t xml:space="preserve">Vasa, Skansen, Subway Tour 17:00, Fotografiska, Tantolunden</t>
  </si>
  <si>
    <t xml:space="preserve">Subway Tour CONFIRMADO</t>
  </si>
  <si>
    <t xml:space="preserve">Día 7</t>
  </si>
  <si>
    <t xml:space="preserve">9:30 Hornstullsstrand.
11:30 Almuerzo Söder.
12:30 Recoger maletas voco.
13:45 Arlanda Express → ARN 14:05 (60€ los 2).
Vuelo Norwegian D8 4253 ARN T5 16:20 → BCN T2 19:45 (561,48€).</t>
  </si>
  <si>
    <t xml:space="preserve">Hornstull, Arlanda Express, vuelo D8 4253</t>
  </si>
  <si>
    <t xml:space="preserve">Casa</t>
  </si>
  <si>
    <t xml:space="preserve">Subtotal alojamientos</t>
  </si>
  <si>
    <t xml:space="preserve">Vuelo Norwegian D8 3657 BCN→CPH (9 jun, los 2)</t>
  </si>
  <si>
    <t xml:space="preserve">Vuelo SAS SK 1410 CPH→ARN (12 jun, los 2)</t>
  </si>
  <si>
    <t xml:space="preserve">Vuelo Norwegian D8 4253 ARN→BCN (15 jun, los 2)</t>
  </si>
  <si>
    <t xml:space="preserve">Coche Europcar Toyota Yaris Cross automático · CPH Airport · 11 jun 09:00-23:00 · Seguro Zurich Full Insurance · CONFIRMADO</t>
  </si>
  <si>
    <t xml:space="preserve">Subway Art Tour Estocolmo (Krystel)</t>
  </si>
  <si>
    <t xml:space="preserve">City Pass 72h x2 Copenhague (transporte)</t>
  </si>
  <si>
    <t xml:space="preserve">Entradas sueltas CPH (Rosenborg, Christiansborg, Frederiksborg, Louisiana, etc.)</t>
  </si>
  <si>
    <t xml:space="preserve">Tarjeta SL 72h Estocolmo x2</t>
  </si>
  <si>
    <t xml:space="preserve">Pendeltåg Arlanda→Helenelund (sáb, los 2)</t>
  </si>
  <si>
    <t xml:space="preserve">Arlanda Express vuelta (lunes, los 2)</t>
  </si>
  <si>
    <t xml:space="preserve">Comidas y entradas extras (estimado)</t>
  </si>
  <si>
    <t xml:space="preserve">Imprevistos / extras</t>
  </si>
  <si>
    <t xml:space="preserve">TOTAL VIAJE</t>
  </si>
  <si>
    <t xml:space="preserve">Alojamientos por Zonas - Junio 2026 (preselección)</t>
  </si>
  <si>
    <t xml:space="preserve">Precio orient./noche</t>
  </si>
  <si>
    <t xml:space="preserve">Estado</t>
  </si>
  <si>
    <t xml:space="preserve">🇩🇰 ZONA 1: COPENHAGUE — Vesterbro (3 noches)</t>
  </si>
  <si>
    <t xml:space="preserve">Fechas: 09/06/2026 - 12/06/2026 (3 noches)</t>
  </si>
  <si>
    <t xml:space="preserve">⚠️ COINCIDE CON FESTIVAL 3DAYSOFDESIGN (10-12 jun) — RESERVAR YA</t>
  </si>
  <si>
    <t xml:space="preserve">#1 Andersen Boutique Hotel ★ RECOMENDADO</t>
  </si>
  <si>
    <t xml:space="preserve">195-260€</t>
  </si>
  <si>
    <t xml:space="preserve">Pendiente</t>
  </si>
  <si>
    <t xml:space="preserve">Helgolandsgade 12, Vesterbro · 4★ boutique · 8.7 Booking · 9.5 parejas
https://www.booking.com/hotel/dk/andersen-hotel.html?checkin=2026-06-09&amp;checkout=2026-06-12&amp;group_adults=2</t>
  </si>
  <si>
    <t xml:space="preserve">#2 Comfort Hotel Vesterbro (PLAN B realista)</t>
  </si>
  <si>
    <t xml:space="preserve">120-170€</t>
  </si>
  <si>
    <t xml:space="preserve">Vesterbrogade 23-29 · 3★ moderno · 8.1 Booking · 9.3 parejas
https://www.booking.com/hotel/dk/comfort-hotel-vesterbro.html?checkin=2026-06-09&amp;checkout=2026-06-12&amp;group_adults=2</t>
  </si>
  <si>
    <t xml:space="preserve">#3 Axel Guldsmeden (eco-boutique)</t>
  </si>
  <si>
    <t xml:space="preserve">180-240€</t>
  </si>
  <si>
    <t xml:space="preserve">Helgolandsgade 11 · 4★ eco · 8.6 Booking · sauna y patio interior</t>
  </si>
  <si>
    <t xml:space="preserve">🇸🇪 ZONA 2: ESTOCOLMO — Södermalm (3 noches)</t>
  </si>
  <si>
    <t xml:space="preserve">Fechas: 12/06/2026 - 15/06/2026 (3 noches)</t>
  </si>
  <si>
    <t xml:space="preserve">#1 Hotel Rival ★ RECOMENDADO</t>
  </si>
  <si>
    <t xml:space="preserve">160-200€</t>
  </si>
  <si>
    <t xml:space="preserve">Mariatorget 3 · 4★ boutique · 8.8 Booking · 9.0 parejas · propietario Benny Andersson (ABBA)
https://www.booking.com/hotel/se/rival.html?checkin=2026-06-12&amp;checkout=2026-06-15&amp;group_adults=2</t>
  </si>
  <si>
    <t xml:space="preserve">#2 Hotel Anno 1647 (mejor calidad/precio)</t>
  </si>
  <si>
    <t xml:space="preserve">130-170€</t>
  </si>
  <si>
    <t xml:space="preserve">Mariagränd 3, Slussen · 3★ histórico · 8.9 Booking · 5 min andando a Gamla Stan
https://www.booking.com/hotel/se/anno-1647.html?checkin=2026-06-12&amp;checkout=2026-06-15&amp;group_adults=2</t>
  </si>
  <si>
    <t xml:space="preserve">#3 Hellstens Malmgård (boutique con encanto)</t>
  </si>
  <si>
    <t xml:space="preserve">170-210€</t>
  </si>
  <si>
    <t xml:space="preserve">Brännkyrkagatan 110 · 4★ · 9.0 Booking · edificio listado de 1780</t>
  </si>
  <si>
    <t xml:space="preserve">🚄 TRANSPORTE INTERNO</t>
  </si>
  <si>
    <t xml:space="preserve">Tren X2000 SJ Copenhague H → Estocolmo C</t>
  </si>
  <si>
    <t xml:space="preserve">~120€/persona</t>
  </si>
  <si>
    <t xml:space="preserve">Salida vie 12 jun 08:20 - llegada 13:50 (5h 30min)
Reservar 3-4 sem antes para mejor tarifa Mango/SJ Prio
https://www.sj.se/en</t>
  </si>
  <si>
    <t xml:space="preserve">✈️ VUELOS</t>
  </si>
  <si>
    <t xml:space="preserve">Vuelo ida: Mar 9 jun BCN 12:40 → CPH 15:35</t>
  </si>
  <si>
    <t xml:space="preserve">~100€/persona</t>
  </si>
  <si>
    <t xml:space="preserve">Vuelo vuelta: Lun 15 jun ARN 16:20 → BCN 19:45</t>
  </si>
  <si>
    <t xml:space="preserve">🚗 COCHE ALQUILER</t>
  </si>
  <si>
    <t xml:space="preserve">Hertz Estación Central Copenhague (jue 11 jun, 9:00)</t>
  </si>
  <si>
    <t xml:space="preserve">~120€</t>
  </si>
  <si>
    <t xml:space="preserve">Devolución mismo día por la noche. Reservar prepago = mejor precio</t>
  </si>
  <si>
    <t xml:space="preserve">🎫 TARJETAS DE TRANSPORTE</t>
  </si>
  <si>
    <t xml:space="preserve">Copenhagen Card 72h (incluye museos + transporte + Harbour Bus)</t>
  </si>
  <si>
    <t xml:space="preserve">~109€/persona</t>
  </si>
  <si>
    <t xml:space="preserve">SL Card 72h Estocolmo (metro + tranvía + ferry archipiélago)</t>
  </si>
  <si>
    <t xml:space="preserve">~24€/persona</t>
  </si>
  <si>
    <t xml:space="preserve">Arlanda Express ida (Estación Central → ARN, 20 min)</t>
  </si>
  <si>
    <t xml:space="preserve">320 SEK ~30€/persona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</si>
</sst>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yy"/>
    <numFmt numFmtId="167" formatCode="#,##0.00&quot; €&quot;"/>
    <numFmt numFmtId="168" formatCode="dddd&quot;, &quot;d&quot; de &quot;mmmm&quot; de &quot;yyyy"/>
    <numFmt numFmtId="169" formatCode="#,##0.00&quot; €&quot;;\-#,##0.00&quot; €&quot;;\-"/>
  </numFmts>
  <fonts count="1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8B6914"/>
      <name val="Aptos Narrow"/>
      <family val="0"/>
      <charset val="1"/>
    </font>
    <font>
      <sz val="11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Calibri"/>
      <family val="0"/>
      <charset val="1"/>
    </font>
    <font>
      <sz val="11"/>
      <name val="Arial"/>
      <family val="0"/>
      <charset val="1"/>
    </font>
    <font>
      <b val="true"/>
      <sz val="11"/>
      <color rgb="FF8B6914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color rgb="FFC62828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9C4"/>
        <bgColor rgb="FFFEF8E3"/>
      </patternFill>
    </fill>
    <fill>
      <patternFill patternType="solid">
        <fgColor rgb="FFEEEEEE"/>
        <bgColor rgb="FFFEF8E3"/>
      </patternFill>
    </fill>
    <fill>
      <patternFill patternType="solid">
        <fgColor rgb="FFFFFF00"/>
        <bgColor rgb="FFFFFF00"/>
      </patternFill>
    </fill>
    <fill>
      <patternFill patternType="solid">
        <fgColor rgb="FFF7CB4D"/>
        <bgColor rgb="FFFFD580"/>
      </patternFill>
    </fill>
    <fill>
      <patternFill patternType="solid">
        <fgColor rgb="FFFFFFFF"/>
        <bgColor rgb="FFFEF8E3"/>
      </patternFill>
    </fill>
    <fill>
      <patternFill patternType="solid">
        <fgColor rgb="FFFEF8E3"/>
        <bgColor rgb="FFFFF9C4"/>
      </patternFill>
    </fill>
    <fill>
      <patternFill patternType="solid">
        <fgColor rgb="FF1F4E79"/>
        <bgColor rgb="FF003366"/>
      </patternFill>
    </fill>
    <fill>
      <patternFill patternType="solid">
        <fgColor rgb="FFD5E0EC"/>
        <bgColor rgb="FFEEEEEE"/>
      </patternFill>
    </fill>
    <fill>
      <patternFill patternType="solid">
        <fgColor rgb="FFFFD580"/>
        <bgColor rgb="FFF7CB4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1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C0C0C0"/>
      <rgbColor rgb="FF808080"/>
      <rgbColor rgb="FF9999FF"/>
      <rgbColor rgb="FF993366"/>
      <rgbColor rgb="FFFFF9C4"/>
      <rgbColor rgb="FFEEEEEE"/>
      <rgbColor rgb="FF660066"/>
      <rgbColor rgb="FFFF8080"/>
      <rgbColor rgb="FF0066CC"/>
      <rgbColor rgb="FFD5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8E3"/>
      <rgbColor rgb="FF99CCFF"/>
      <rgbColor rgb="FFFF99CC"/>
      <rgbColor rgb="FFCC99FF"/>
      <rgbColor rgb="FFFFD580"/>
      <rgbColor rgb="FF3366FF"/>
      <rgbColor rgb="FF33CCCC"/>
      <rgbColor rgb="FF99CC00"/>
      <rgbColor rgb="FFF7CB4D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C62828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zeroHeight="false" outlineLevelRow="0" outlineLevelCol="0"/>
  <cols>
    <col collapsed="false" customWidth="true" hidden="false" outlineLevel="0" max="1" min="1" style="1" width="9.5"/>
    <col collapsed="false" customWidth="true" hidden="false" outlineLevel="0" max="2" min="2" style="1" width="13"/>
    <col collapsed="false" customWidth="true" hidden="false" outlineLevel="0" max="3" min="3" style="1" width="10.38"/>
    <col collapsed="false" customWidth="true" hidden="false" outlineLevel="0" max="4" min="4" style="1" width="33.13"/>
    <col collapsed="false" customWidth="true" hidden="false" outlineLevel="0" max="5" min="5" style="1" width="32.13"/>
    <col collapsed="false" customWidth="true" hidden="false" outlineLevel="0" max="6" min="6" style="1" width="26.88"/>
    <col collapsed="false" customWidth="true" hidden="false" outlineLevel="0" max="7" min="7" style="1" width="21.5"/>
    <col collapsed="false" customWidth="true" hidden="false" outlineLevel="0" max="8" min="8" style="1" width="13.25"/>
    <col collapsed="false" customWidth="true" hidden="false" outlineLevel="0" max="9" min="9" style="1" width="7.5"/>
    <col collapsed="false" customWidth="true" hidden="false" outlineLevel="0" max="10" min="10" style="1" width="7.38"/>
    <col collapsed="false" customWidth="true" hidden="false" outlineLevel="0" max="11" min="11" style="1" width="27.25"/>
    <col collapsed="false" customWidth="true" hidden="false" outlineLevel="0" max="26" min="12" style="1" width="10.6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31.5" hidden="false" customHeight="true" outlineLevel="0" collapsed="false">
      <c r="A2" s="4" t="s">
        <v>11</v>
      </c>
      <c r="B2" s="4" t="s">
        <v>12</v>
      </c>
      <c r="C2" s="5" t="n">
        <v>46182</v>
      </c>
      <c r="D2" s="6" t="s">
        <v>13</v>
      </c>
      <c r="E2" s="6" t="s">
        <v>14</v>
      </c>
      <c r="F2" s="6" t="s">
        <v>15</v>
      </c>
      <c r="G2" s="6" t="s">
        <v>16</v>
      </c>
      <c r="H2" s="4" t="s">
        <v>17</v>
      </c>
      <c r="I2" s="4" t="n">
        <v>911</v>
      </c>
      <c r="J2" s="4" t="s">
        <v>18</v>
      </c>
      <c r="K2" s="6" t="s">
        <v>19</v>
      </c>
    </row>
    <row r="3" customFormat="false" ht="31.5" hidden="false" customHeight="true" outlineLevel="0" collapsed="false">
      <c r="A3" s="7" t="s">
        <v>11</v>
      </c>
      <c r="B3" s="7" t="s">
        <v>12</v>
      </c>
      <c r="C3" s="8" t="n">
        <v>46182</v>
      </c>
      <c r="D3" s="9" t="s">
        <v>20</v>
      </c>
      <c r="E3" s="9" t="s">
        <v>21</v>
      </c>
      <c r="F3" s="9" t="s">
        <v>22</v>
      </c>
      <c r="G3" s="9"/>
      <c r="H3" s="7"/>
      <c r="I3" s="7"/>
      <c r="J3" s="7" t="s">
        <v>18</v>
      </c>
      <c r="K3" s="9" t="s">
        <v>23</v>
      </c>
    </row>
    <row r="4" customFormat="false" ht="31.5" hidden="false" customHeight="true" outlineLevel="0" collapsed="false">
      <c r="A4" s="7" t="s">
        <v>11</v>
      </c>
      <c r="B4" s="7" t="s">
        <v>12</v>
      </c>
      <c r="C4" s="8" t="n">
        <v>46182</v>
      </c>
      <c r="D4" s="9" t="s">
        <v>24</v>
      </c>
      <c r="E4" s="9" t="s">
        <v>25</v>
      </c>
      <c r="F4" s="9" t="s">
        <v>26</v>
      </c>
      <c r="G4" s="9"/>
      <c r="H4" s="7"/>
      <c r="I4" s="7"/>
      <c r="J4" s="7" t="s">
        <v>18</v>
      </c>
      <c r="K4" s="9" t="s">
        <v>27</v>
      </c>
    </row>
    <row r="5" customFormat="false" ht="31.5" hidden="false" customHeight="true" outlineLevel="0" collapsed="false">
      <c r="A5" s="7" t="s">
        <v>11</v>
      </c>
      <c r="B5" s="7" t="s">
        <v>12</v>
      </c>
      <c r="C5" s="8" t="n">
        <v>46182</v>
      </c>
      <c r="D5" s="9" t="s">
        <v>28</v>
      </c>
      <c r="E5" s="9" t="s">
        <v>29</v>
      </c>
      <c r="F5" s="9" t="s">
        <v>30</v>
      </c>
      <c r="G5" s="9"/>
      <c r="H5" s="7"/>
      <c r="I5" s="7"/>
      <c r="J5" s="7" t="s">
        <v>18</v>
      </c>
      <c r="K5" s="9" t="s">
        <v>31</v>
      </c>
    </row>
    <row r="6" customFormat="false" ht="31.5" hidden="false" customHeight="true" outlineLevel="0" collapsed="false">
      <c r="A6" s="7" t="s">
        <v>11</v>
      </c>
      <c r="B6" s="7" t="s">
        <v>12</v>
      </c>
      <c r="C6" s="8" t="n">
        <v>46182</v>
      </c>
      <c r="D6" s="9" t="s">
        <v>32</v>
      </c>
      <c r="E6" s="9" t="s">
        <v>33</v>
      </c>
      <c r="F6" s="9" t="s">
        <v>34</v>
      </c>
      <c r="G6" s="9"/>
      <c r="H6" s="7"/>
      <c r="I6" s="7"/>
      <c r="J6" s="7" t="s">
        <v>18</v>
      </c>
      <c r="K6" s="9" t="s">
        <v>35</v>
      </c>
    </row>
    <row r="7" customFormat="false" ht="31.5" hidden="false" customHeight="true" outlineLevel="0" collapsed="false">
      <c r="A7" s="7" t="s">
        <v>11</v>
      </c>
      <c r="B7" s="7" t="s">
        <v>12</v>
      </c>
      <c r="C7" s="8" t="n">
        <v>46182</v>
      </c>
      <c r="D7" s="9" t="s">
        <v>36</v>
      </c>
      <c r="E7" s="9" t="s">
        <v>37</v>
      </c>
      <c r="F7" s="9" t="s">
        <v>38</v>
      </c>
      <c r="G7" s="9"/>
      <c r="H7" s="7"/>
      <c r="I7" s="7"/>
      <c r="J7" s="7" t="s">
        <v>18</v>
      </c>
      <c r="K7" s="9" t="s">
        <v>39</v>
      </c>
    </row>
    <row r="8" customFormat="false" ht="31.5" hidden="false" customHeight="true" outlineLevel="0" collapsed="false">
      <c r="A8" s="7" t="s">
        <v>11</v>
      </c>
      <c r="B8" s="7" t="s">
        <v>12</v>
      </c>
      <c r="C8" s="8" t="n">
        <v>46182</v>
      </c>
      <c r="D8" s="9" t="s">
        <v>40</v>
      </c>
      <c r="E8" s="9" t="s">
        <v>41</v>
      </c>
      <c r="F8" s="9" t="s">
        <v>42</v>
      </c>
      <c r="G8" s="9"/>
      <c r="H8" s="7"/>
      <c r="I8" s="7"/>
      <c r="J8" s="7" t="s">
        <v>18</v>
      </c>
      <c r="K8" s="9" t="s">
        <v>43</v>
      </c>
    </row>
    <row r="9" customFormat="false" ht="31.5" hidden="false" customHeight="true" outlineLevel="0" collapsed="false">
      <c r="A9" s="7" t="s">
        <v>11</v>
      </c>
      <c r="B9" s="7" t="s">
        <v>12</v>
      </c>
      <c r="C9" s="8" t="n">
        <v>46182</v>
      </c>
      <c r="D9" s="9" t="s">
        <v>44</v>
      </c>
      <c r="E9" s="9" t="s">
        <v>45</v>
      </c>
      <c r="F9" s="9" t="s">
        <v>46</v>
      </c>
      <c r="G9" s="9"/>
      <c r="H9" s="7"/>
      <c r="I9" s="7"/>
      <c r="J9" s="7" t="s">
        <v>18</v>
      </c>
      <c r="K9" s="9" t="s">
        <v>47</v>
      </c>
    </row>
    <row r="10" customFormat="false" ht="31.5" hidden="false" customHeight="true" outlineLevel="0" collapsed="false">
      <c r="A10" s="7" t="s">
        <v>11</v>
      </c>
      <c r="B10" s="7" t="s">
        <v>12</v>
      </c>
      <c r="C10" s="8" t="n">
        <v>46182</v>
      </c>
      <c r="D10" s="9" t="s">
        <v>48</v>
      </c>
      <c r="E10" s="9" t="s">
        <v>49</v>
      </c>
      <c r="F10" s="9" t="s">
        <v>50</v>
      </c>
      <c r="G10" s="9"/>
      <c r="H10" s="7"/>
      <c r="I10" s="7"/>
      <c r="J10" s="7" t="s">
        <v>18</v>
      </c>
      <c r="K10" s="9"/>
    </row>
    <row r="11" customFormat="false" ht="31.5" hidden="false" customHeight="true" outlineLevel="0" collapsed="false">
      <c r="A11" s="7" t="s">
        <v>11</v>
      </c>
      <c r="B11" s="7" t="s">
        <v>12</v>
      </c>
      <c r="C11" s="8" t="n">
        <v>46182</v>
      </c>
      <c r="D11" s="9" t="s">
        <v>51</v>
      </c>
      <c r="E11" s="9" t="s">
        <v>52</v>
      </c>
      <c r="F11" s="9" t="s">
        <v>53</v>
      </c>
      <c r="G11" s="9"/>
      <c r="H11" s="7"/>
      <c r="I11" s="7"/>
      <c r="J11" s="7" t="s">
        <v>18</v>
      </c>
      <c r="K11" s="9" t="s">
        <v>54</v>
      </c>
    </row>
    <row r="12" customFormat="false" ht="31.5" hidden="false" customHeight="true" outlineLevel="0" collapsed="false">
      <c r="A12" s="10" t="s">
        <v>55</v>
      </c>
      <c r="B12" s="10" t="s">
        <v>56</v>
      </c>
      <c r="C12" s="11" t="n">
        <v>46182</v>
      </c>
      <c r="D12" s="12" t="s">
        <v>57</v>
      </c>
      <c r="E12" s="12" t="s">
        <v>58</v>
      </c>
      <c r="F12" s="12" t="s">
        <v>59</v>
      </c>
      <c r="G12" s="12"/>
      <c r="H12" s="10" t="s">
        <v>60</v>
      </c>
      <c r="I12" s="10"/>
      <c r="J12" s="10" t="s">
        <v>61</v>
      </c>
      <c r="K12" s="12"/>
    </row>
    <row r="13" customFormat="false" ht="31.5" hidden="false" customHeight="true" outlineLevel="0" collapsed="false">
      <c r="A13" s="10" t="s">
        <v>62</v>
      </c>
      <c r="B13" s="10" t="s">
        <v>56</v>
      </c>
      <c r="C13" s="11" t="n">
        <v>46182</v>
      </c>
      <c r="D13" s="12" t="s">
        <v>63</v>
      </c>
      <c r="E13" s="12" t="s">
        <v>64</v>
      </c>
      <c r="F13" s="12" t="s">
        <v>65</v>
      </c>
      <c r="G13" s="12"/>
      <c r="H13" s="10" t="s">
        <v>60</v>
      </c>
      <c r="I13" s="10"/>
      <c r="J13" s="10" t="s">
        <v>61</v>
      </c>
      <c r="K13" s="12" t="s">
        <v>66</v>
      </c>
    </row>
    <row r="14" customFormat="false" ht="31.5" hidden="false" customHeight="true" outlineLevel="0" collapsed="false">
      <c r="A14" s="10" t="s">
        <v>67</v>
      </c>
      <c r="B14" s="10" t="s">
        <v>56</v>
      </c>
      <c r="C14" s="11" t="n">
        <v>46182</v>
      </c>
      <c r="D14" s="12" t="s">
        <v>68</v>
      </c>
      <c r="E14" s="12" t="s">
        <v>69</v>
      </c>
      <c r="F14" s="12" t="s">
        <v>70</v>
      </c>
      <c r="G14" s="12"/>
      <c r="H14" s="10" t="s">
        <v>60</v>
      </c>
      <c r="I14" s="10"/>
      <c r="J14" s="10" t="s">
        <v>61</v>
      </c>
      <c r="K14" s="12"/>
    </row>
    <row r="15" customFormat="false" ht="31.5" hidden="false" customHeight="true" outlineLevel="0" collapsed="false">
      <c r="A15" s="13" t="s">
        <v>71</v>
      </c>
      <c r="B15" s="13" t="s">
        <v>12</v>
      </c>
      <c r="C15" s="14" t="n">
        <v>46183</v>
      </c>
      <c r="D15" s="15" t="s">
        <v>72</v>
      </c>
      <c r="E15" s="15" t="s">
        <v>73</v>
      </c>
      <c r="F15" s="15" t="s">
        <v>74</v>
      </c>
      <c r="G15" s="15" t="s">
        <v>75</v>
      </c>
      <c r="H15" s="13"/>
      <c r="I15" s="13"/>
      <c r="J15" s="13" t="s">
        <v>18</v>
      </c>
      <c r="K15" s="15" t="s">
        <v>76</v>
      </c>
    </row>
    <row r="16" customFormat="false" ht="31.5" hidden="false" customHeight="true" outlineLevel="0" collapsed="false">
      <c r="A16" s="7" t="s">
        <v>71</v>
      </c>
      <c r="B16" s="7" t="s">
        <v>12</v>
      </c>
      <c r="C16" s="8" t="n">
        <v>46183</v>
      </c>
      <c r="D16" s="9" t="s">
        <v>77</v>
      </c>
      <c r="E16" s="9" t="s">
        <v>78</v>
      </c>
      <c r="F16" s="9" t="s">
        <v>79</v>
      </c>
      <c r="G16" s="9"/>
      <c r="H16" s="7"/>
      <c r="I16" s="7"/>
      <c r="J16" s="7" t="s">
        <v>18</v>
      </c>
      <c r="K16" s="9" t="s">
        <v>80</v>
      </c>
    </row>
    <row r="17" customFormat="false" ht="31.5" hidden="false" customHeight="true" outlineLevel="0" collapsed="false">
      <c r="A17" s="7" t="s">
        <v>71</v>
      </c>
      <c r="B17" s="7" t="s">
        <v>12</v>
      </c>
      <c r="C17" s="8" t="n">
        <v>46183</v>
      </c>
      <c r="D17" s="9" t="s">
        <v>81</v>
      </c>
      <c r="E17" s="9" t="s">
        <v>82</v>
      </c>
      <c r="F17" s="9" t="s">
        <v>83</v>
      </c>
      <c r="G17" s="9"/>
      <c r="H17" s="7"/>
      <c r="I17" s="7"/>
      <c r="J17" s="7" t="s">
        <v>18</v>
      </c>
      <c r="K17" s="9" t="s">
        <v>84</v>
      </c>
    </row>
    <row r="18" customFormat="false" ht="31.5" hidden="false" customHeight="true" outlineLevel="0" collapsed="false">
      <c r="A18" s="7" t="s">
        <v>71</v>
      </c>
      <c r="B18" s="7" t="s">
        <v>12</v>
      </c>
      <c r="C18" s="8" t="n">
        <v>46183</v>
      </c>
      <c r="D18" s="9" t="s">
        <v>85</v>
      </c>
      <c r="E18" s="9" t="s">
        <v>86</v>
      </c>
      <c r="F18" s="9" t="s">
        <v>87</v>
      </c>
      <c r="G18" s="9"/>
      <c r="H18" s="7"/>
      <c r="I18" s="7"/>
      <c r="J18" s="7" t="s">
        <v>18</v>
      </c>
      <c r="K18" s="9" t="s">
        <v>88</v>
      </c>
    </row>
    <row r="19" customFormat="false" ht="31.5" hidden="false" customHeight="true" outlineLevel="0" collapsed="false">
      <c r="A19" s="7" t="s">
        <v>71</v>
      </c>
      <c r="B19" s="7" t="s">
        <v>12</v>
      </c>
      <c r="C19" s="8" t="n">
        <v>46183</v>
      </c>
      <c r="D19" s="9" t="s">
        <v>89</v>
      </c>
      <c r="E19" s="9" t="s">
        <v>90</v>
      </c>
      <c r="F19" s="9" t="s">
        <v>91</v>
      </c>
      <c r="G19" s="9"/>
      <c r="H19" s="7"/>
      <c r="I19" s="7"/>
      <c r="J19" s="7" t="s">
        <v>18</v>
      </c>
      <c r="K19" s="9" t="s">
        <v>92</v>
      </c>
    </row>
    <row r="20" customFormat="false" ht="31.5" hidden="false" customHeight="true" outlineLevel="0" collapsed="false">
      <c r="A20" s="7" t="s">
        <v>71</v>
      </c>
      <c r="B20" s="7" t="s">
        <v>12</v>
      </c>
      <c r="C20" s="8" t="n">
        <v>46183</v>
      </c>
      <c r="D20" s="9" t="s">
        <v>93</v>
      </c>
      <c r="E20" s="9" t="s">
        <v>94</v>
      </c>
      <c r="F20" s="9" t="s">
        <v>95</v>
      </c>
      <c r="G20" s="9"/>
      <c r="H20" s="7"/>
      <c r="I20" s="7"/>
      <c r="J20" s="7" t="s">
        <v>96</v>
      </c>
      <c r="K20" s="9" t="s">
        <v>97</v>
      </c>
    </row>
    <row r="21" customFormat="false" ht="31.5" hidden="false" customHeight="true" outlineLevel="0" collapsed="false">
      <c r="A21" s="7" t="s">
        <v>71</v>
      </c>
      <c r="B21" s="7" t="s">
        <v>12</v>
      </c>
      <c r="C21" s="8" t="n">
        <v>46183</v>
      </c>
      <c r="D21" s="9" t="s">
        <v>98</v>
      </c>
      <c r="E21" s="9" t="s">
        <v>99</v>
      </c>
      <c r="F21" s="9" t="s">
        <v>100</v>
      </c>
      <c r="G21" s="9"/>
      <c r="H21" s="7"/>
      <c r="I21" s="7"/>
      <c r="J21" s="7" t="s">
        <v>18</v>
      </c>
      <c r="K21" s="9"/>
    </row>
    <row r="22" customFormat="false" ht="31.5" hidden="false" customHeight="true" outlineLevel="0" collapsed="false">
      <c r="A22" s="10" t="s">
        <v>101</v>
      </c>
      <c r="B22" s="10" t="s">
        <v>102</v>
      </c>
      <c r="C22" s="11" t="n">
        <v>46183</v>
      </c>
      <c r="D22" s="12" t="s">
        <v>103</v>
      </c>
      <c r="E22" s="12" t="s">
        <v>69</v>
      </c>
      <c r="F22" s="12" t="s">
        <v>104</v>
      </c>
      <c r="G22" s="12"/>
      <c r="H22" s="10" t="s">
        <v>60</v>
      </c>
      <c r="I22" s="10"/>
      <c r="J22" s="10" t="s">
        <v>61</v>
      </c>
      <c r="K22" s="12"/>
    </row>
    <row r="23" customFormat="false" ht="31.5" hidden="false" customHeight="true" outlineLevel="0" collapsed="false">
      <c r="A23" s="10" t="s">
        <v>105</v>
      </c>
      <c r="B23" s="10" t="s">
        <v>102</v>
      </c>
      <c r="C23" s="11" t="n">
        <v>46183</v>
      </c>
      <c r="D23" s="12" t="s">
        <v>106</v>
      </c>
      <c r="E23" s="12" t="s">
        <v>107</v>
      </c>
      <c r="F23" s="12" t="s">
        <v>108</v>
      </c>
      <c r="G23" s="12"/>
      <c r="H23" s="10" t="s">
        <v>60</v>
      </c>
      <c r="I23" s="10"/>
      <c r="J23" s="10" t="s">
        <v>61</v>
      </c>
      <c r="K23" s="12"/>
    </row>
    <row r="24" customFormat="false" ht="31.5" hidden="false" customHeight="true" outlineLevel="0" collapsed="false">
      <c r="A24" s="10" t="s">
        <v>109</v>
      </c>
      <c r="B24" s="10" t="s">
        <v>102</v>
      </c>
      <c r="C24" s="11" t="n">
        <v>46183</v>
      </c>
      <c r="D24" s="12" t="s">
        <v>110</v>
      </c>
      <c r="E24" s="12" t="s">
        <v>69</v>
      </c>
      <c r="F24" s="12" t="s">
        <v>111</v>
      </c>
      <c r="G24" s="12"/>
      <c r="H24" s="10" t="s">
        <v>60</v>
      </c>
      <c r="I24" s="10"/>
      <c r="J24" s="10" t="s">
        <v>61</v>
      </c>
      <c r="K24" s="12" t="s">
        <v>66</v>
      </c>
    </row>
    <row r="25" customFormat="false" ht="31.5" hidden="false" customHeight="true" outlineLevel="0" collapsed="false">
      <c r="A25" s="10" t="s">
        <v>112</v>
      </c>
      <c r="B25" s="10" t="s">
        <v>102</v>
      </c>
      <c r="C25" s="11" t="n">
        <v>46183</v>
      </c>
      <c r="D25" s="12" t="s">
        <v>113</v>
      </c>
      <c r="E25" s="12" t="s">
        <v>69</v>
      </c>
      <c r="F25" s="12" t="s">
        <v>114</v>
      </c>
      <c r="G25" s="12"/>
      <c r="H25" s="10" t="s">
        <v>60</v>
      </c>
      <c r="I25" s="10"/>
      <c r="J25" s="10" t="s">
        <v>61</v>
      </c>
      <c r="K25" s="12"/>
    </row>
    <row r="26" customFormat="false" ht="31.5" hidden="false" customHeight="true" outlineLevel="0" collapsed="false">
      <c r="A26" s="4" t="s">
        <v>115</v>
      </c>
      <c r="B26" s="4" t="s">
        <v>12</v>
      </c>
      <c r="C26" s="5" t="n">
        <v>46184</v>
      </c>
      <c r="D26" s="6" t="s">
        <v>116</v>
      </c>
      <c r="E26" s="6" t="s">
        <v>117</v>
      </c>
      <c r="F26" s="6" t="s">
        <v>118</v>
      </c>
      <c r="G26" s="6" t="s">
        <v>75</v>
      </c>
      <c r="H26" s="4" t="s">
        <v>17</v>
      </c>
      <c r="I26" s="16" t="n">
        <v>97.22</v>
      </c>
      <c r="J26" s="4" t="s">
        <v>18</v>
      </c>
      <c r="K26" s="6" t="s">
        <v>119</v>
      </c>
    </row>
    <row r="27" customFormat="false" ht="31.5" hidden="false" customHeight="true" outlineLevel="0" collapsed="false">
      <c r="A27" s="7" t="s">
        <v>115</v>
      </c>
      <c r="B27" s="7" t="s">
        <v>12</v>
      </c>
      <c r="C27" s="8" t="n">
        <v>46184</v>
      </c>
      <c r="D27" s="9" t="s">
        <v>120</v>
      </c>
      <c r="E27" s="9" t="s">
        <v>121</v>
      </c>
      <c r="F27" s="9" t="s">
        <v>122</v>
      </c>
      <c r="G27" s="9"/>
      <c r="H27" s="7"/>
      <c r="I27" s="7"/>
      <c r="J27" s="7" t="s">
        <v>18</v>
      </c>
      <c r="K27" s="9" t="s">
        <v>123</v>
      </c>
    </row>
    <row r="28" customFormat="false" ht="31.5" hidden="false" customHeight="true" outlineLevel="0" collapsed="false">
      <c r="A28" s="7" t="s">
        <v>115</v>
      </c>
      <c r="B28" s="7" t="s">
        <v>12</v>
      </c>
      <c r="C28" s="8" t="n">
        <v>46184</v>
      </c>
      <c r="D28" s="9" t="s">
        <v>124</v>
      </c>
      <c r="E28" s="9" t="s">
        <v>125</v>
      </c>
      <c r="F28" s="9" t="s">
        <v>126</v>
      </c>
      <c r="G28" s="9"/>
      <c r="H28" s="7"/>
      <c r="I28" s="7"/>
      <c r="J28" s="7" t="s">
        <v>96</v>
      </c>
      <c r="K28" s="9" t="s">
        <v>127</v>
      </c>
    </row>
    <row r="29" customFormat="false" ht="31.5" hidden="false" customHeight="true" outlineLevel="0" collapsed="false">
      <c r="A29" s="7" t="s">
        <v>115</v>
      </c>
      <c r="B29" s="7" t="s">
        <v>12</v>
      </c>
      <c r="C29" s="8" t="n">
        <v>46184</v>
      </c>
      <c r="D29" s="9" t="s">
        <v>128</v>
      </c>
      <c r="E29" s="9" t="s">
        <v>129</v>
      </c>
      <c r="F29" s="9" t="s">
        <v>130</v>
      </c>
      <c r="G29" s="9"/>
      <c r="H29" s="7"/>
      <c r="I29" s="7"/>
      <c r="J29" s="7" t="s">
        <v>18</v>
      </c>
      <c r="K29" s="9" t="s">
        <v>131</v>
      </c>
    </row>
    <row r="30" customFormat="false" ht="31.5" hidden="false" customHeight="true" outlineLevel="0" collapsed="false">
      <c r="A30" s="7" t="s">
        <v>115</v>
      </c>
      <c r="B30" s="7" t="s">
        <v>12</v>
      </c>
      <c r="C30" s="8" t="n">
        <v>46184</v>
      </c>
      <c r="D30" s="9" t="s">
        <v>132</v>
      </c>
      <c r="E30" s="9" t="s">
        <v>133</v>
      </c>
      <c r="F30" s="9" t="s">
        <v>134</v>
      </c>
      <c r="G30" s="9"/>
      <c r="H30" s="7"/>
      <c r="I30" s="7"/>
      <c r="J30" s="7" t="s">
        <v>18</v>
      </c>
      <c r="K30" s="9"/>
    </row>
    <row r="31" customFormat="false" ht="31.5" hidden="false" customHeight="true" outlineLevel="0" collapsed="false">
      <c r="A31" s="10" t="s">
        <v>135</v>
      </c>
      <c r="B31" s="10" t="s">
        <v>136</v>
      </c>
      <c r="C31" s="11" t="n">
        <v>46184</v>
      </c>
      <c r="D31" s="12" t="s">
        <v>137</v>
      </c>
      <c r="E31" s="12" t="s">
        <v>138</v>
      </c>
      <c r="F31" s="12" t="s">
        <v>139</v>
      </c>
      <c r="G31" s="12"/>
      <c r="H31" s="10" t="s">
        <v>60</v>
      </c>
      <c r="I31" s="10"/>
      <c r="J31" s="10" t="s">
        <v>61</v>
      </c>
      <c r="K31" s="12"/>
    </row>
    <row r="32" customFormat="false" ht="31.5" hidden="false" customHeight="true" outlineLevel="0" collapsed="false">
      <c r="A32" s="13" t="s">
        <v>140</v>
      </c>
      <c r="B32" s="13" t="s">
        <v>141</v>
      </c>
      <c r="C32" s="14" t="n">
        <v>46185</v>
      </c>
      <c r="D32" s="15" t="s">
        <v>142</v>
      </c>
      <c r="E32" s="15" t="s">
        <v>143</v>
      </c>
      <c r="F32" s="15" t="s">
        <v>144</v>
      </c>
      <c r="G32" s="15" t="s">
        <v>145</v>
      </c>
      <c r="H32" s="13" t="s">
        <v>17</v>
      </c>
      <c r="I32" s="13" t="n">
        <v>121</v>
      </c>
      <c r="J32" s="13" t="s">
        <v>18</v>
      </c>
      <c r="K32" s="15" t="s">
        <v>146</v>
      </c>
    </row>
    <row r="33" customFormat="false" ht="31.5" hidden="false" customHeight="true" outlineLevel="0" collapsed="false">
      <c r="A33" s="7" t="s">
        <v>140</v>
      </c>
      <c r="B33" s="7" t="s">
        <v>141</v>
      </c>
      <c r="C33" s="8" t="n">
        <v>46185</v>
      </c>
      <c r="D33" s="9" t="s">
        <v>147</v>
      </c>
      <c r="E33" s="9" t="s">
        <v>148</v>
      </c>
      <c r="F33" s="9" t="s">
        <v>149</v>
      </c>
      <c r="G33" s="9"/>
      <c r="H33" s="7"/>
      <c r="I33" s="7"/>
      <c r="J33" s="7" t="s">
        <v>18</v>
      </c>
      <c r="K33" s="9" t="s">
        <v>150</v>
      </c>
    </row>
    <row r="34" customFormat="false" ht="31.5" hidden="false" customHeight="true" outlineLevel="0" collapsed="false">
      <c r="A34" s="7" t="s">
        <v>140</v>
      </c>
      <c r="B34" s="7" t="s">
        <v>141</v>
      </c>
      <c r="C34" s="8" t="n">
        <v>46185</v>
      </c>
      <c r="D34" s="9" t="s">
        <v>151</v>
      </c>
      <c r="E34" s="9" t="s">
        <v>152</v>
      </c>
      <c r="F34" s="9" t="s">
        <v>153</v>
      </c>
      <c r="G34" s="9"/>
      <c r="H34" s="7"/>
      <c r="I34" s="7"/>
      <c r="J34" s="7" t="s">
        <v>18</v>
      </c>
      <c r="K34" s="9" t="s">
        <v>154</v>
      </c>
    </row>
    <row r="35" customFormat="false" ht="31.5" hidden="false" customHeight="true" outlineLevel="0" collapsed="false">
      <c r="A35" s="7" t="s">
        <v>140</v>
      </c>
      <c r="B35" s="7" t="s">
        <v>141</v>
      </c>
      <c r="C35" s="8" t="n">
        <v>46185</v>
      </c>
      <c r="D35" s="9" t="s">
        <v>155</v>
      </c>
      <c r="E35" s="9" t="s">
        <v>156</v>
      </c>
      <c r="F35" s="9" t="s">
        <v>157</v>
      </c>
      <c r="G35" s="9"/>
      <c r="H35" s="7"/>
      <c r="I35" s="7"/>
      <c r="J35" s="7" t="s">
        <v>18</v>
      </c>
      <c r="K35" s="9"/>
    </row>
    <row r="36" customFormat="false" ht="31.5" hidden="false" customHeight="true" outlineLevel="0" collapsed="false">
      <c r="A36" s="7" t="s">
        <v>140</v>
      </c>
      <c r="B36" s="7" t="s">
        <v>141</v>
      </c>
      <c r="C36" s="8" t="n">
        <v>46185</v>
      </c>
      <c r="D36" s="9" t="s">
        <v>158</v>
      </c>
      <c r="E36" s="9" t="s">
        <v>159</v>
      </c>
      <c r="F36" s="9" t="s">
        <v>160</v>
      </c>
      <c r="G36" s="9"/>
      <c r="H36" s="7"/>
      <c r="I36" s="7"/>
      <c r="J36" s="7" t="s">
        <v>18</v>
      </c>
      <c r="K36" s="9" t="s">
        <v>161</v>
      </c>
    </row>
    <row r="37" customFormat="false" ht="31.5" hidden="false" customHeight="true" outlineLevel="0" collapsed="false">
      <c r="A37" s="7" t="s">
        <v>140</v>
      </c>
      <c r="B37" s="7" t="s">
        <v>141</v>
      </c>
      <c r="C37" s="8" t="n">
        <v>46185</v>
      </c>
      <c r="D37" s="9" t="s">
        <v>162</v>
      </c>
      <c r="E37" s="9" t="s">
        <v>163</v>
      </c>
      <c r="F37" s="9" t="s">
        <v>164</v>
      </c>
      <c r="G37" s="9"/>
      <c r="H37" s="7"/>
      <c r="I37" s="7"/>
      <c r="J37" s="7" t="s">
        <v>18</v>
      </c>
      <c r="K37" s="9" t="s">
        <v>165</v>
      </c>
    </row>
    <row r="38" customFormat="false" ht="31.5" hidden="false" customHeight="true" outlineLevel="0" collapsed="false">
      <c r="A38" s="7" t="s">
        <v>140</v>
      </c>
      <c r="B38" s="7" t="s">
        <v>141</v>
      </c>
      <c r="C38" s="8" t="n">
        <v>46185</v>
      </c>
      <c r="D38" s="9" t="s">
        <v>166</v>
      </c>
      <c r="E38" s="9" t="s">
        <v>167</v>
      </c>
      <c r="F38" s="9" t="s">
        <v>168</v>
      </c>
      <c r="G38" s="9"/>
      <c r="H38" s="7"/>
      <c r="I38" s="7"/>
      <c r="J38" s="7" t="s">
        <v>18</v>
      </c>
      <c r="K38" s="9"/>
    </row>
    <row r="39" customFormat="false" ht="31.5" hidden="false" customHeight="true" outlineLevel="0" collapsed="false">
      <c r="A39" s="7" t="s">
        <v>140</v>
      </c>
      <c r="B39" s="7" t="s">
        <v>141</v>
      </c>
      <c r="C39" s="8" t="n">
        <v>46185</v>
      </c>
      <c r="D39" s="9" t="s">
        <v>169</v>
      </c>
      <c r="E39" s="9" t="s">
        <v>170</v>
      </c>
      <c r="F39" s="9" t="s">
        <v>171</v>
      </c>
      <c r="G39" s="9"/>
      <c r="H39" s="7"/>
      <c r="I39" s="7"/>
      <c r="J39" s="7" t="s">
        <v>18</v>
      </c>
      <c r="K39" s="9"/>
    </row>
    <row r="40" customFormat="false" ht="31.5" hidden="false" customHeight="true" outlineLevel="0" collapsed="false">
      <c r="A40" s="4" t="s">
        <v>140</v>
      </c>
      <c r="B40" s="4" t="s">
        <v>141</v>
      </c>
      <c r="C40" s="5" t="n">
        <v>46185</v>
      </c>
      <c r="D40" s="6" t="s">
        <v>172</v>
      </c>
      <c r="E40" s="6" t="s">
        <v>173</v>
      </c>
      <c r="F40" s="6" t="s">
        <v>174</v>
      </c>
      <c r="G40" s="6"/>
      <c r="H40" s="4"/>
      <c r="I40" s="4"/>
      <c r="J40" s="4" t="s">
        <v>18</v>
      </c>
      <c r="K40" s="6" t="s">
        <v>175</v>
      </c>
    </row>
    <row r="41" customFormat="false" ht="31.5" hidden="false" customHeight="true" outlineLevel="0" collapsed="false">
      <c r="A41" s="7" t="s">
        <v>140</v>
      </c>
      <c r="B41" s="7" t="s">
        <v>141</v>
      </c>
      <c r="C41" s="8" t="n">
        <v>46185</v>
      </c>
      <c r="D41" s="9" t="s">
        <v>176</v>
      </c>
      <c r="E41" s="9" t="s">
        <v>177</v>
      </c>
      <c r="F41" s="9" t="s">
        <v>178</v>
      </c>
      <c r="G41" s="9" t="s">
        <v>179</v>
      </c>
      <c r="H41" s="7"/>
      <c r="I41" s="7"/>
      <c r="J41" s="7" t="s">
        <v>18</v>
      </c>
      <c r="K41" s="9"/>
    </row>
    <row r="42" customFormat="false" ht="31.5" hidden="false" customHeight="true" outlineLevel="0" collapsed="false">
      <c r="A42" s="4" t="s">
        <v>140</v>
      </c>
      <c r="B42" s="4" t="s">
        <v>141</v>
      </c>
      <c r="C42" s="5" t="n">
        <v>46185</v>
      </c>
      <c r="D42" s="6" t="s">
        <v>180</v>
      </c>
      <c r="E42" s="6" t="s">
        <v>181</v>
      </c>
      <c r="F42" s="6" t="s">
        <v>182</v>
      </c>
      <c r="G42" s="6"/>
      <c r="H42" s="4"/>
      <c r="I42" s="4"/>
      <c r="J42" s="4" t="s">
        <v>18</v>
      </c>
      <c r="K42" s="6" t="s">
        <v>183</v>
      </c>
    </row>
    <row r="43" customFormat="false" ht="31.5" hidden="false" customHeight="true" outlineLevel="0" collapsed="false">
      <c r="A43" s="10" t="s">
        <v>184</v>
      </c>
      <c r="B43" s="10" t="s">
        <v>185</v>
      </c>
      <c r="C43" s="11" t="n">
        <v>46185</v>
      </c>
      <c r="D43" s="12" t="s">
        <v>186</v>
      </c>
      <c r="E43" s="12" t="s">
        <v>187</v>
      </c>
      <c r="F43" s="12" t="s">
        <v>188</v>
      </c>
      <c r="G43" s="12"/>
      <c r="H43" s="10" t="s">
        <v>60</v>
      </c>
      <c r="I43" s="10"/>
      <c r="J43" s="10" t="s">
        <v>61</v>
      </c>
      <c r="K43" s="12"/>
    </row>
    <row r="44" customFormat="false" ht="31.5" hidden="false" customHeight="true" outlineLevel="0" collapsed="false">
      <c r="A44" s="10" t="s">
        <v>189</v>
      </c>
      <c r="B44" s="10" t="s">
        <v>185</v>
      </c>
      <c r="C44" s="11" t="n">
        <v>46185</v>
      </c>
      <c r="D44" s="12" t="s">
        <v>190</v>
      </c>
      <c r="E44" s="12" t="s">
        <v>191</v>
      </c>
      <c r="F44" s="12" t="s">
        <v>192</v>
      </c>
      <c r="G44" s="12"/>
      <c r="H44" s="10" t="s">
        <v>60</v>
      </c>
      <c r="I44" s="10"/>
      <c r="J44" s="10" t="s">
        <v>61</v>
      </c>
      <c r="K44" s="12"/>
    </row>
    <row r="45" customFormat="false" ht="31.5" hidden="false" customHeight="true" outlineLevel="0" collapsed="false">
      <c r="A45" s="13" t="s">
        <v>193</v>
      </c>
      <c r="B45" s="13" t="s">
        <v>194</v>
      </c>
      <c r="C45" s="14" t="n">
        <v>46186</v>
      </c>
      <c r="D45" s="15" t="s">
        <v>195</v>
      </c>
      <c r="E45" s="15" t="s">
        <v>196</v>
      </c>
      <c r="F45" s="15" t="s">
        <v>197</v>
      </c>
      <c r="G45" s="15" t="s">
        <v>198</v>
      </c>
      <c r="H45" s="13" t="s">
        <v>17</v>
      </c>
      <c r="I45" s="13" t="n">
        <v>395</v>
      </c>
      <c r="J45" s="13" t="s">
        <v>18</v>
      </c>
      <c r="K45" s="15"/>
    </row>
    <row r="46" customFormat="false" ht="31.5" hidden="false" customHeight="true" outlineLevel="0" collapsed="false">
      <c r="A46" s="7" t="s">
        <v>193</v>
      </c>
      <c r="B46" s="7" t="s">
        <v>194</v>
      </c>
      <c r="C46" s="8" t="n">
        <v>46186</v>
      </c>
      <c r="D46" s="9" t="s">
        <v>199</v>
      </c>
      <c r="E46" s="9" t="s">
        <v>200</v>
      </c>
      <c r="F46" s="9" t="s">
        <v>201</v>
      </c>
      <c r="G46" s="9"/>
      <c r="H46" s="7"/>
      <c r="I46" s="7"/>
      <c r="J46" s="7" t="s">
        <v>18</v>
      </c>
      <c r="K46" s="9"/>
    </row>
    <row r="47" customFormat="false" ht="31.5" hidden="false" customHeight="true" outlineLevel="0" collapsed="false">
      <c r="A47" s="7" t="s">
        <v>193</v>
      </c>
      <c r="B47" s="7" t="s">
        <v>194</v>
      </c>
      <c r="C47" s="8" t="n">
        <v>46186</v>
      </c>
      <c r="D47" s="9" t="s">
        <v>202</v>
      </c>
      <c r="E47" s="9" t="s">
        <v>203</v>
      </c>
      <c r="F47" s="9" t="s">
        <v>204</v>
      </c>
      <c r="G47" s="9"/>
      <c r="H47" s="7"/>
      <c r="I47" s="7"/>
      <c r="J47" s="7" t="s">
        <v>18</v>
      </c>
      <c r="K47" s="9" t="s">
        <v>205</v>
      </c>
    </row>
    <row r="48" customFormat="false" ht="31.5" hidden="false" customHeight="true" outlineLevel="0" collapsed="false">
      <c r="A48" s="7" t="s">
        <v>193</v>
      </c>
      <c r="B48" s="7" t="s">
        <v>194</v>
      </c>
      <c r="C48" s="8" t="n">
        <v>46186</v>
      </c>
      <c r="D48" s="9" t="s">
        <v>206</v>
      </c>
      <c r="E48" s="9" t="s">
        <v>207</v>
      </c>
      <c r="F48" s="9" t="s">
        <v>208</v>
      </c>
      <c r="G48" s="9"/>
      <c r="H48" s="7"/>
      <c r="I48" s="7"/>
      <c r="J48" s="7" t="s">
        <v>18</v>
      </c>
      <c r="K48" s="9" t="s">
        <v>209</v>
      </c>
    </row>
    <row r="49" customFormat="false" ht="31.5" hidden="false" customHeight="true" outlineLevel="0" collapsed="false">
      <c r="A49" s="7" t="s">
        <v>193</v>
      </c>
      <c r="B49" s="7" t="s">
        <v>194</v>
      </c>
      <c r="C49" s="8" t="n">
        <v>46186</v>
      </c>
      <c r="D49" s="9" t="s">
        <v>210</v>
      </c>
      <c r="E49" s="9" t="s">
        <v>211</v>
      </c>
      <c r="F49" s="9" t="s">
        <v>212</v>
      </c>
      <c r="G49" s="9"/>
      <c r="H49" s="7"/>
      <c r="I49" s="7"/>
      <c r="J49" s="7" t="s">
        <v>18</v>
      </c>
      <c r="K49" s="9" t="s">
        <v>213</v>
      </c>
    </row>
    <row r="50" customFormat="false" ht="31.5" hidden="false" customHeight="true" outlineLevel="0" collapsed="false">
      <c r="A50" s="7" t="s">
        <v>193</v>
      </c>
      <c r="B50" s="7" t="s">
        <v>194</v>
      </c>
      <c r="C50" s="8" t="n">
        <v>46186</v>
      </c>
      <c r="D50" s="9" t="s">
        <v>214</v>
      </c>
      <c r="E50" s="9" t="s">
        <v>215</v>
      </c>
      <c r="F50" s="9" t="s">
        <v>216</v>
      </c>
      <c r="G50" s="9"/>
      <c r="H50" s="7"/>
      <c r="I50" s="7"/>
      <c r="J50" s="7" t="s">
        <v>18</v>
      </c>
      <c r="K50" s="9"/>
    </row>
    <row r="51" customFormat="false" ht="31.5" hidden="false" customHeight="true" outlineLevel="0" collapsed="false">
      <c r="A51" s="7" t="s">
        <v>193</v>
      </c>
      <c r="B51" s="7" t="s">
        <v>194</v>
      </c>
      <c r="C51" s="8" t="n">
        <v>46186</v>
      </c>
      <c r="D51" s="9" t="s">
        <v>217</v>
      </c>
      <c r="E51" s="9" t="s">
        <v>218</v>
      </c>
      <c r="F51" s="9" t="s">
        <v>219</v>
      </c>
      <c r="G51" s="9"/>
      <c r="H51" s="7"/>
      <c r="I51" s="7"/>
      <c r="J51" s="7" t="s">
        <v>18</v>
      </c>
      <c r="K51" s="9" t="s">
        <v>220</v>
      </c>
    </row>
    <row r="52" customFormat="false" ht="31.5" hidden="false" customHeight="true" outlineLevel="0" collapsed="false">
      <c r="A52" s="7" t="s">
        <v>193</v>
      </c>
      <c r="B52" s="7" t="s">
        <v>194</v>
      </c>
      <c r="C52" s="8" t="n">
        <v>46186</v>
      </c>
      <c r="D52" s="9" t="s">
        <v>221</v>
      </c>
      <c r="E52" s="9" t="s">
        <v>217</v>
      </c>
      <c r="F52" s="9" t="s">
        <v>222</v>
      </c>
      <c r="G52" s="9"/>
      <c r="H52" s="7"/>
      <c r="I52" s="7"/>
      <c r="J52" s="7" t="s">
        <v>18</v>
      </c>
      <c r="K52" s="9"/>
    </row>
    <row r="53" customFormat="false" ht="31.5" hidden="false" customHeight="true" outlineLevel="0" collapsed="false">
      <c r="A53" s="7" t="s">
        <v>193</v>
      </c>
      <c r="B53" s="7" t="s">
        <v>194</v>
      </c>
      <c r="C53" s="8" t="n">
        <v>46186</v>
      </c>
      <c r="D53" s="9" t="s">
        <v>223</v>
      </c>
      <c r="E53" s="9" t="s">
        <v>224</v>
      </c>
      <c r="F53" s="9" t="s">
        <v>225</v>
      </c>
      <c r="G53" s="9"/>
      <c r="H53" s="7"/>
      <c r="I53" s="7"/>
      <c r="J53" s="7" t="s">
        <v>18</v>
      </c>
      <c r="K53" s="9" t="s">
        <v>226</v>
      </c>
    </row>
    <row r="54" customFormat="false" ht="31.5" hidden="false" customHeight="true" outlineLevel="0" collapsed="false">
      <c r="A54" s="7" t="s">
        <v>193</v>
      </c>
      <c r="B54" s="7" t="s">
        <v>194</v>
      </c>
      <c r="C54" s="8" t="n">
        <v>46186</v>
      </c>
      <c r="D54" s="9" t="s">
        <v>227</v>
      </c>
      <c r="E54" s="9" t="s">
        <v>228</v>
      </c>
      <c r="F54" s="9" t="s">
        <v>229</v>
      </c>
      <c r="G54" s="9"/>
      <c r="H54" s="7"/>
      <c r="I54" s="7"/>
      <c r="J54" s="7" t="s">
        <v>18</v>
      </c>
      <c r="K54" s="9"/>
    </row>
    <row r="55" customFormat="false" ht="31.5" hidden="false" customHeight="true" outlineLevel="0" collapsed="false">
      <c r="A55" s="7" t="s">
        <v>193</v>
      </c>
      <c r="B55" s="7" t="s">
        <v>194</v>
      </c>
      <c r="C55" s="8" t="n">
        <v>46186</v>
      </c>
      <c r="D55" s="9" t="s">
        <v>230</v>
      </c>
      <c r="E55" s="9" t="s">
        <v>231</v>
      </c>
      <c r="F55" s="9" t="s">
        <v>232</v>
      </c>
      <c r="G55" s="9"/>
      <c r="H55" s="7"/>
      <c r="I55" s="7"/>
      <c r="J55" s="7" t="s">
        <v>18</v>
      </c>
      <c r="K55" s="9"/>
    </row>
    <row r="56" customFormat="false" ht="31.5" hidden="false" customHeight="true" outlineLevel="0" collapsed="false">
      <c r="A56" s="7" t="s">
        <v>193</v>
      </c>
      <c r="B56" s="7" t="s">
        <v>194</v>
      </c>
      <c r="C56" s="8" t="n">
        <v>46186</v>
      </c>
      <c r="D56" s="9" t="s">
        <v>233</v>
      </c>
      <c r="E56" s="9" t="s">
        <v>234</v>
      </c>
      <c r="F56" s="9" t="s">
        <v>235</v>
      </c>
      <c r="G56" s="9"/>
      <c r="H56" s="7"/>
      <c r="I56" s="7"/>
      <c r="J56" s="7" t="s">
        <v>18</v>
      </c>
      <c r="K56" s="9" t="s">
        <v>236</v>
      </c>
    </row>
    <row r="57" customFormat="false" ht="31.5" hidden="false" customHeight="true" outlineLevel="0" collapsed="false">
      <c r="A57" s="7" t="s">
        <v>193</v>
      </c>
      <c r="B57" s="7" t="s">
        <v>194</v>
      </c>
      <c r="C57" s="8" t="n">
        <v>46186</v>
      </c>
      <c r="D57" s="9" t="s">
        <v>237</v>
      </c>
      <c r="E57" s="9" t="s">
        <v>238</v>
      </c>
      <c r="F57" s="9" t="s">
        <v>239</v>
      </c>
      <c r="G57" s="9"/>
      <c r="H57" s="7"/>
      <c r="I57" s="7"/>
      <c r="J57" s="7" t="s">
        <v>18</v>
      </c>
      <c r="K57" s="9" t="s">
        <v>240</v>
      </c>
    </row>
    <row r="58" customFormat="false" ht="31.5" hidden="false" customHeight="true" outlineLevel="0" collapsed="false">
      <c r="A58" s="4" t="s">
        <v>193</v>
      </c>
      <c r="B58" s="4" t="s">
        <v>194</v>
      </c>
      <c r="C58" s="5" t="n">
        <v>46186</v>
      </c>
      <c r="D58" s="6" t="s">
        <v>241</v>
      </c>
      <c r="E58" s="6" t="s">
        <v>242</v>
      </c>
      <c r="F58" s="6" t="s">
        <v>243</v>
      </c>
      <c r="G58" s="6"/>
      <c r="H58" s="4"/>
      <c r="I58" s="4"/>
      <c r="J58" s="4" t="s">
        <v>18</v>
      </c>
      <c r="K58" s="6" t="s">
        <v>244</v>
      </c>
    </row>
    <row r="59" customFormat="false" ht="31.5" hidden="false" customHeight="true" outlineLevel="0" collapsed="false">
      <c r="A59" s="10" t="s">
        <v>245</v>
      </c>
      <c r="B59" s="10" t="s">
        <v>246</v>
      </c>
      <c r="C59" s="11" t="n">
        <v>46186</v>
      </c>
      <c r="D59" s="12" t="s">
        <v>247</v>
      </c>
      <c r="E59" s="12" t="s">
        <v>248</v>
      </c>
      <c r="F59" s="12" t="s">
        <v>249</v>
      </c>
      <c r="G59" s="12"/>
      <c r="H59" s="10" t="s">
        <v>60</v>
      </c>
      <c r="I59" s="10"/>
      <c r="J59" s="10" t="s">
        <v>61</v>
      </c>
      <c r="K59" s="12"/>
    </row>
    <row r="60" customFormat="false" ht="31.5" hidden="false" customHeight="true" outlineLevel="0" collapsed="false">
      <c r="A60" s="10" t="s">
        <v>250</v>
      </c>
      <c r="B60" s="10" t="s">
        <v>246</v>
      </c>
      <c r="C60" s="11" t="n">
        <v>46186</v>
      </c>
      <c r="D60" s="12" t="s">
        <v>251</v>
      </c>
      <c r="E60" s="12" t="s">
        <v>252</v>
      </c>
      <c r="F60" s="12" t="s">
        <v>253</v>
      </c>
      <c r="G60" s="12"/>
      <c r="H60" s="10" t="s">
        <v>60</v>
      </c>
      <c r="I60" s="10"/>
      <c r="J60" s="10" t="s">
        <v>61</v>
      </c>
      <c r="K60" s="12"/>
    </row>
    <row r="61" customFormat="false" ht="31.5" hidden="false" customHeight="true" outlineLevel="0" collapsed="false">
      <c r="A61" s="13" t="s">
        <v>254</v>
      </c>
      <c r="B61" s="13" t="s">
        <v>194</v>
      </c>
      <c r="C61" s="14" t="n">
        <v>46187</v>
      </c>
      <c r="D61" s="15" t="s">
        <v>255</v>
      </c>
      <c r="E61" s="15" t="s">
        <v>256</v>
      </c>
      <c r="F61" s="15" t="s">
        <v>257</v>
      </c>
      <c r="G61" s="15" t="s">
        <v>198</v>
      </c>
      <c r="H61" s="13"/>
      <c r="I61" s="13"/>
      <c r="J61" s="13" t="s">
        <v>18</v>
      </c>
      <c r="K61" s="15" t="s">
        <v>258</v>
      </c>
    </row>
    <row r="62" customFormat="false" ht="31.5" hidden="false" customHeight="true" outlineLevel="0" collapsed="false">
      <c r="A62" s="7" t="s">
        <v>254</v>
      </c>
      <c r="B62" s="7" t="s">
        <v>194</v>
      </c>
      <c r="C62" s="8" t="n">
        <v>46187</v>
      </c>
      <c r="D62" s="9" t="s">
        <v>259</v>
      </c>
      <c r="E62" s="9" t="s">
        <v>260</v>
      </c>
      <c r="F62" s="9" t="s">
        <v>261</v>
      </c>
      <c r="G62" s="9"/>
      <c r="H62" s="7"/>
      <c r="I62" s="7"/>
      <c r="J62" s="7" t="s">
        <v>96</v>
      </c>
      <c r="K62" s="9" t="s">
        <v>262</v>
      </c>
    </row>
    <row r="63" customFormat="false" ht="31.5" hidden="false" customHeight="true" outlineLevel="0" collapsed="false">
      <c r="A63" s="7" t="s">
        <v>254</v>
      </c>
      <c r="B63" s="7" t="s">
        <v>194</v>
      </c>
      <c r="C63" s="8" t="n">
        <v>46187</v>
      </c>
      <c r="D63" s="9" t="s">
        <v>263</v>
      </c>
      <c r="E63" s="9" t="s">
        <v>264</v>
      </c>
      <c r="F63" s="9" t="s">
        <v>265</v>
      </c>
      <c r="G63" s="9"/>
      <c r="H63" s="7"/>
      <c r="I63" s="7"/>
      <c r="J63" s="7" t="s">
        <v>18</v>
      </c>
      <c r="K63" s="9" t="s">
        <v>266</v>
      </c>
    </row>
    <row r="64" customFormat="false" ht="31.5" hidden="false" customHeight="true" outlineLevel="0" collapsed="false">
      <c r="A64" s="7" t="s">
        <v>254</v>
      </c>
      <c r="B64" s="7" t="s">
        <v>194</v>
      </c>
      <c r="C64" s="8" t="n">
        <v>46187</v>
      </c>
      <c r="D64" s="9" t="s">
        <v>267</v>
      </c>
      <c r="E64" s="9" t="s">
        <v>268</v>
      </c>
      <c r="F64" s="9" t="s">
        <v>269</v>
      </c>
      <c r="G64" s="9"/>
      <c r="H64" s="7"/>
      <c r="I64" s="7"/>
      <c r="J64" s="7" t="s">
        <v>18</v>
      </c>
      <c r="K64" s="9" t="s">
        <v>270</v>
      </c>
    </row>
    <row r="65" customFormat="false" ht="31.5" hidden="false" customHeight="true" outlineLevel="0" collapsed="false">
      <c r="A65" s="7" t="s">
        <v>254</v>
      </c>
      <c r="B65" s="7" t="s">
        <v>194</v>
      </c>
      <c r="C65" s="8" t="n">
        <v>46187</v>
      </c>
      <c r="D65" s="9" t="s">
        <v>271</v>
      </c>
      <c r="E65" s="9" t="s">
        <v>272</v>
      </c>
      <c r="F65" s="9" t="s">
        <v>273</v>
      </c>
      <c r="G65" s="9"/>
      <c r="H65" s="7"/>
      <c r="I65" s="7"/>
      <c r="J65" s="7" t="s">
        <v>18</v>
      </c>
      <c r="K65" s="9"/>
    </row>
    <row r="66" customFormat="false" ht="31.5" hidden="false" customHeight="true" outlineLevel="0" collapsed="false">
      <c r="A66" s="4" t="s">
        <v>254</v>
      </c>
      <c r="B66" s="4" t="s">
        <v>194</v>
      </c>
      <c r="C66" s="5" t="n">
        <v>46187</v>
      </c>
      <c r="D66" s="6" t="s">
        <v>274</v>
      </c>
      <c r="E66" s="6" t="s">
        <v>275</v>
      </c>
      <c r="F66" s="6" t="s">
        <v>276</v>
      </c>
      <c r="G66" s="6"/>
      <c r="H66" s="4"/>
      <c r="I66" s="4"/>
      <c r="J66" s="4" t="s">
        <v>18</v>
      </c>
      <c r="K66" s="6" t="s">
        <v>277</v>
      </c>
    </row>
    <row r="67" customFormat="false" ht="31.5" hidden="false" customHeight="true" outlineLevel="0" collapsed="false">
      <c r="A67" s="7" t="s">
        <v>254</v>
      </c>
      <c r="B67" s="7" t="s">
        <v>194</v>
      </c>
      <c r="C67" s="8" t="n">
        <v>46187</v>
      </c>
      <c r="D67" s="9" t="s">
        <v>278</v>
      </c>
      <c r="E67" s="9" t="s">
        <v>279</v>
      </c>
      <c r="F67" s="9" t="s">
        <v>280</v>
      </c>
      <c r="G67" s="9"/>
      <c r="H67" s="7"/>
      <c r="I67" s="7"/>
      <c r="J67" s="7" t="s">
        <v>18</v>
      </c>
      <c r="K67" s="9"/>
    </row>
    <row r="68" customFormat="false" ht="31.5" hidden="false" customHeight="true" outlineLevel="0" collapsed="false">
      <c r="A68" s="7" t="s">
        <v>254</v>
      </c>
      <c r="B68" s="7" t="s">
        <v>194</v>
      </c>
      <c r="C68" s="8" t="n">
        <v>46187</v>
      </c>
      <c r="D68" s="9" t="s">
        <v>281</v>
      </c>
      <c r="E68" s="9" t="s">
        <v>282</v>
      </c>
      <c r="F68" s="9" t="s">
        <v>283</v>
      </c>
      <c r="G68" s="9"/>
      <c r="H68" s="7"/>
      <c r="I68" s="7"/>
      <c r="J68" s="7" t="s">
        <v>18</v>
      </c>
      <c r="K68" s="9" t="s">
        <v>284</v>
      </c>
    </row>
    <row r="69" customFormat="false" ht="31.5" hidden="false" customHeight="true" outlineLevel="0" collapsed="false">
      <c r="A69" s="7" t="s">
        <v>254</v>
      </c>
      <c r="B69" s="7" t="s">
        <v>194</v>
      </c>
      <c r="C69" s="8" t="n">
        <v>46187</v>
      </c>
      <c r="D69" s="9" t="s">
        <v>285</v>
      </c>
      <c r="E69" s="9" t="s">
        <v>286</v>
      </c>
      <c r="F69" s="9" t="s">
        <v>287</v>
      </c>
      <c r="G69" s="9"/>
      <c r="H69" s="7"/>
      <c r="I69" s="7"/>
      <c r="J69" s="7" t="s">
        <v>18</v>
      </c>
      <c r="K69" s="9" t="s">
        <v>288</v>
      </c>
    </row>
    <row r="70" customFormat="false" ht="31.5" hidden="false" customHeight="true" outlineLevel="0" collapsed="false">
      <c r="A70" s="10" t="s">
        <v>289</v>
      </c>
      <c r="B70" s="10" t="s">
        <v>290</v>
      </c>
      <c r="C70" s="11" t="n">
        <v>46187</v>
      </c>
      <c r="D70" s="12" t="s">
        <v>291</v>
      </c>
      <c r="E70" s="12" t="s">
        <v>292</v>
      </c>
      <c r="F70" s="12" t="s">
        <v>293</v>
      </c>
      <c r="G70" s="12"/>
      <c r="H70" s="10" t="s">
        <v>60</v>
      </c>
      <c r="I70" s="10"/>
      <c r="J70" s="10" t="s">
        <v>61</v>
      </c>
      <c r="K70" s="12"/>
    </row>
    <row r="71" customFormat="false" ht="31.5" hidden="false" customHeight="true" outlineLevel="0" collapsed="false">
      <c r="A71" s="13" t="s">
        <v>294</v>
      </c>
      <c r="B71" s="13" t="s">
        <v>295</v>
      </c>
      <c r="C71" s="14" t="n">
        <v>46188</v>
      </c>
      <c r="D71" s="15" t="s">
        <v>296</v>
      </c>
      <c r="E71" s="15" t="s">
        <v>297</v>
      </c>
      <c r="F71" s="15" t="s">
        <v>298</v>
      </c>
      <c r="G71" s="15" t="s">
        <v>299</v>
      </c>
      <c r="H71" s="13" t="s">
        <v>60</v>
      </c>
      <c r="I71" s="13"/>
      <c r="J71" s="13" t="s">
        <v>18</v>
      </c>
      <c r="K71" s="15" t="s">
        <v>300</v>
      </c>
    </row>
    <row r="72" customFormat="false" ht="31.5" hidden="false" customHeight="true" outlineLevel="0" collapsed="false">
      <c r="A72" s="7" t="s">
        <v>294</v>
      </c>
      <c r="B72" s="7" t="s">
        <v>295</v>
      </c>
      <c r="C72" s="8" t="n">
        <v>46188</v>
      </c>
      <c r="D72" s="9" t="s">
        <v>301</v>
      </c>
      <c r="E72" s="9" t="s">
        <v>302</v>
      </c>
      <c r="F72" s="9" t="s">
        <v>303</v>
      </c>
      <c r="G72" s="9"/>
      <c r="H72" s="7"/>
      <c r="I72" s="7"/>
      <c r="J72" s="7" t="s">
        <v>18</v>
      </c>
      <c r="K72" s="9"/>
    </row>
    <row r="73" customFormat="false" ht="31.5" hidden="false" customHeight="true" outlineLevel="0" collapsed="false">
      <c r="A73" s="7" t="s">
        <v>294</v>
      </c>
      <c r="B73" s="7" t="s">
        <v>295</v>
      </c>
      <c r="C73" s="8" t="n">
        <v>46188</v>
      </c>
      <c r="D73" s="9" t="s">
        <v>304</v>
      </c>
      <c r="E73" s="9" t="s">
        <v>305</v>
      </c>
      <c r="F73" s="9" t="s">
        <v>306</v>
      </c>
      <c r="G73" s="9"/>
      <c r="H73" s="7"/>
      <c r="I73" s="7"/>
      <c r="J73" s="7" t="s">
        <v>18</v>
      </c>
      <c r="K73" s="9"/>
    </row>
    <row r="74" customFormat="false" ht="31.5" hidden="false" customHeight="true" outlineLevel="0" collapsed="false">
      <c r="A74" s="7" t="s">
        <v>294</v>
      </c>
      <c r="B74" s="7" t="s">
        <v>295</v>
      </c>
      <c r="C74" s="8" t="n">
        <v>46188</v>
      </c>
      <c r="D74" s="9" t="s">
        <v>307</v>
      </c>
      <c r="E74" s="9" t="s">
        <v>308</v>
      </c>
      <c r="F74" s="9" t="s">
        <v>309</v>
      </c>
      <c r="G74" s="9"/>
      <c r="H74" s="7"/>
      <c r="I74" s="7"/>
      <c r="J74" s="7" t="s">
        <v>18</v>
      </c>
      <c r="K74" s="9" t="s">
        <v>310</v>
      </c>
    </row>
    <row r="75" customFormat="false" ht="31.5" hidden="false" customHeight="true" outlineLevel="0" collapsed="false">
      <c r="A75" s="4" t="s">
        <v>294</v>
      </c>
      <c r="B75" s="4" t="s">
        <v>295</v>
      </c>
      <c r="C75" s="5" t="n">
        <v>46188</v>
      </c>
      <c r="D75" s="6" t="s">
        <v>311</v>
      </c>
      <c r="E75" s="6" t="s">
        <v>312</v>
      </c>
      <c r="F75" s="6" t="s">
        <v>313</v>
      </c>
      <c r="G75" s="6" t="s">
        <v>60</v>
      </c>
      <c r="H75" s="4" t="s">
        <v>60</v>
      </c>
      <c r="I75" s="4"/>
      <c r="J75" s="4" t="s">
        <v>18</v>
      </c>
      <c r="K75" s="6" t="s">
        <v>314</v>
      </c>
    </row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autoFilter ref="A1:L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2890625" defaultRowHeight="15" zeroHeight="false" outlineLevelRow="0" outlineLevelCol="0"/>
  <cols>
    <col collapsed="false" customWidth="true" hidden="false" outlineLevel="0" max="1" min="1" style="1" width="9.5"/>
    <col collapsed="false" customWidth="true" hidden="false" outlineLevel="0" max="2" min="2" style="1" width="10.75"/>
    <col collapsed="false" customWidth="true" hidden="false" outlineLevel="0" max="3" min="3" style="1" width="28.75"/>
    <col collapsed="false" customWidth="true" hidden="false" outlineLevel="0" max="4" min="4" style="1" width="53.5"/>
    <col collapsed="false" customWidth="true" hidden="false" outlineLevel="0" max="5" min="5" style="1" width="9.38"/>
    <col collapsed="false" customWidth="true" hidden="false" outlineLevel="0" max="7" min="7" style="1" width="27.75"/>
    <col collapsed="false" customWidth="true" hidden="false" outlineLevel="0" max="8" min="8" style="1" width="24.38"/>
    <col collapsed="false" customWidth="true" hidden="false" outlineLevel="0" max="11" min="9" style="1" width="7.38"/>
  </cols>
  <sheetData>
    <row r="1" customFormat="false" ht="15" hidden="false" customHeight="true" outlineLevel="0" collapsed="false">
      <c r="A1" s="17" t="s">
        <v>0</v>
      </c>
      <c r="B1" s="18" t="s">
        <v>1</v>
      </c>
      <c r="C1" s="19" t="s">
        <v>2</v>
      </c>
      <c r="D1" s="18" t="s">
        <v>3</v>
      </c>
      <c r="E1" s="18" t="s">
        <v>315</v>
      </c>
      <c r="F1" s="18" t="s">
        <v>316</v>
      </c>
      <c r="G1" s="18" t="s">
        <v>6</v>
      </c>
      <c r="H1" s="18" t="s">
        <v>7</v>
      </c>
      <c r="I1" s="18" t="s">
        <v>317</v>
      </c>
      <c r="J1" s="18" t="s">
        <v>318</v>
      </c>
      <c r="K1" s="18" t="s">
        <v>319</v>
      </c>
      <c r="L1" s="20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customFormat="false" ht="129.75" hidden="false" customHeight="true" outlineLevel="0" collapsed="false">
      <c r="A2" s="22" t="s">
        <v>320</v>
      </c>
      <c r="B2" s="23" t="s">
        <v>12</v>
      </c>
      <c r="C2" s="24" t="n">
        <v>46182</v>
      </c>
      <c r="D2" s="22" t="s">
        <v>321</v>
      </c>
      <c r="E2" s="23"/>
      <c r="F2" s="23" t="s">
        <v>322</v>
      </c>
      <c r="G2" s="23" t="s">
        <v>323</v>
      </c>
      <c r="H2" s="23" t="s">
        <v>17</v>
      </c>
      <c r="I2" s="25" t="n">
        <v>911</v>
      </c>
      <c r="J2" s="25"/>
      <c r="K2" s="25" t="n">
        <v>911</v>
      </c>
    </row>
    <row r="3" customFormat="false" ht="129.75" hidden="false" customHeight="true" outlineLevel="0" collapsed="false">
      <c r="A3" s="26" t="s">
        <v>324</v>
      </c>
      <c r="B3" s="27" t="s">
        <v>12</v>
      </c>
      <c r="C3" s="28" t="n">
        <v>46183</v>
      </c>
      <c r="D3" s="26" t="s">
        <v>325</v>
      </c>
      <c r="E3" s="27"/>
      <c r="F3" s="27" t="s">
        <v>326</v>
      </c>
      <c r="G3" s="27" t="s">
        <v>75</v>
      </c>
      <c r="H3" s="27"/>
      <c r="I3" s="29"/>
      <c r="J3" s="29"/>
      <c r="K3" s="29"/>
    </row>
    <row r="4" customFormat="false" ht="129.75" hidden="false" customHeight="true" outlineLevel="0" collapsed="false">
      <c r="A4" s="22" t="s">
        <v>327</v>
      </c>
      <c r="B4" s="23" t="s">
        <v>12</v>
      </c>
      <c r="C4" s="24" t="n">
        <v>46184</v>
      </c>
      <c r="D4" s="22" t="s">
        <v>328</v>
      </c>
      <c r="E4" s="23"/>
      <c r="F4" s="23" t="s">
        <v>329</v>
      </c>
      <c r="G4" s="23" t="s">
        <v>75</v>
      </c>
      <c r="H4" s="23" t="s">
        <v>330</v>
      </c>
      <c r="I4" s="25"/>
      <c r="J4" s="25" t="n">
        <v>130</v>
      </c>
      <c r="K4" s="25" t="n">
        <v>130</v>
      </c>
    </row>
    <row r="5" customFormat="false" ht="129.75" hidden="false" customHeight="true" outlineLevel="0" collapsed="false">
      <c r="A5" s="26" t="s">
        <v>331</v>
      </c>
      <c r="B5" s="27" t="s">
        <v>179</v>
      </c>
      <c r="C5" s="28" t="n">
        <v>46185</v>
      </c>
      <c r="D5" s="26" t="s">
        <v>332</v>
      </c>
      <c r="E5" s="27"/>
      <c r="F5" s="27" t="s">
        <v>333</v>
      </c>
      <c r="G5" s="27" t="s">
        <v>334</v>
      </c>
      <c r="H5" s="27" t="s">
        <v>17</v>
      </c>
      <c r="I5" s="29" t="n">
        <v>121</v>
      </c>
      <c r="J5" s="29"/>
      <c r="K5" s="29" t="n">
        <v>121</v>
      </c>
    </row>
    <row r="6" customFormat="false" ht="129.75" hidden="false" customHeight="true" outlineLevel="0" collapsed="false">
      <c r="A6" s="22" t="s">
        <v>335</v>
      </c>
      <c r="B6" s="23" t="s">
        <v>198</v>
      </c>
      <c r="C6" s="24" t="n">
        <v>46186</v>
      </c>
      <c r="D6" s="22" t="s">
        <v>336</v>
      </c>
      <c r="E6" s="23"/>
      <c r="F6" s="23" t="s">
        <v>337</v>
      </c>
      <c r="G6" s="23" t="s">
        <v>338</v>
      </c>
      <c r="H6" s="23" t="s">
        <v>17</v>
      </c>
      <c r="I6" s="25" t="n">
        <v>395</v>
      </c>
      <c r="J6" s="25"/>
      <c r="K6" s="25" t="n">
        <v>395</v>
      </c>
    </row>
    <row r="7" customFormat="false" ht="129.75" hidden="false" customHeight="true" outlineLevel="0" collapsed="false">
      <c r="A7" s="26" t="s">
        <v>339</v>
      </c>
      <c r="B7" s="27" t="s">
        <v>198</v>
      </c>
      <c r="C7" s="28" t="n">
        <v>46187</v>
      </c>
      <c r="D7" s="26" t="s">
        <v>340</v>
      </c>
      <c r="E7" s="27"/>
      <c r="F7" s="27" t="s">
        <v>341</v>
      </c>
      <c r="G7" s="27" t="s">
        <v>198</v>
      </c>
      <c r="H7" s="27" t="s">
        <v>342</v>
      </c>
      <c r="I7" s="29"/>
      <c r="J7" s="29"/>
      <c r="K7" s="29"/>
    </row>
    <row r="8" customFormat="false" ht="129.75" hidden="false" customHeight="true" outlineLevel="0" collapsed="false">
      <c r="A8" s="22" t="s">
        <v>343</v>
      </c>
      <c r="B8" s="23" t="s">
        <v>295</v>
      </c>
      <c r="C8" s="24" t="n">
        <v>46188</v>
      </c>
      <c r="D8" s="22" t="s">
        <v>344</v>
      </c>
      <c r="E8" s="23"/>
      <c r="F8" s="23" t="s">
        <v>345</v>
      </c>
      <c r="G8" s="23" t="s">
        <v>346</v>
      </c>
      <c r="H8" s="23" t="s">
        <v>60</v>
      </c>
      <c r="I8" s="25"/>
      <c r="J8" s="25"/>
      <c r="K8" s="25"/>
    </row>
    <row r="10" customFormat="false" ht="15" hidden="false" customHeight="true" outlineLevel="0" collapsed="false">
      <c r="H10" s="30" t="s">
        <v>347</v>
      </c>
      <c r="I10" s="31" t="n">
        <f aca="false">SUM(I2:I8)</f>
        <v>1427</v>
      </c>
      <c r="J10" s="31" t="n">
        <f aca="false">SUM(J2:J8)</f>
        <v>130</v>
      </c>
      <c r="K10" s="31" t="n">
        <f aca="false">SUM(K2:K8)</f>
        <v>1557</v>
      </c>
    </row>
    <row r="12" customFormat="false" ht="15" hidden="false" customHeight="true" outlineLevel="0" collapsed="false">
      <c r="H12" s="32" t="s">
        <v>348</v>
      </c>
      <c r="I12" s="33" t="n">
        <v>281.2</v>
      </c>
      <c r="J12" s="34"/>
      <c r="K12" s="33" t="n">
        <v>281.2</v>
      </c>
    </row>
    <row r="13" customFormat="false" ht="15" hidden="false" customHeight="true" outlineLevel="0" collapsed="false">
      <c r="H13" s="32" t="s">
        <v>349</v>
      </c>
      <c r="I13" s="33" t="n">
        <v>236.82</v>
      </c>
      <c r="J13" s="34"/>
      <c r="K13" s="33" t="n">
        <v>236.82</v>
      </c>
    </row>
    <row r="14" customFormat="false" ht="15" hidden="false" customHeight="true" outlineLevel="0" collapsed="false">
      <c r="H14" s="32" t="s">
        <v>350</v>
      </c>
      <c r="I14" s="33" t="n">
        <v>561.48</v>
      </c>
      <c r="J14" s="34"/>
      <c r="K14" s="33" t="n">
        <v>561.48</v>
      </c>
    </row>
    <row r="15" customFormat="false" ht="15" hidden="false" customHeight="true" outlineLevel="0" collapsed="false">
      <c r="H15" s="35" t="s">
        <v>351</v>
      </c>
      <c r="I15" s="36" t="n">
        <v>97.22</v>
      </c>
      <c r="J15" s="36" t="n">
        <v>0</v>
      </c>
      <c r="K15" s="36" t="n">
        <v>97.22</v>
      </c>
    </row>
    <row r="16" customFormat="false" ht="15" hidden="false" customHeight="true" outlineLevel="0" collapsed="false">
      <c r="H16" s="32" t="s">
        <v>352</v>
      </c>
      <c r="I16" s="34"/>
      <c r="J16" s="34"/>
      <c r="K16" s="33" t="n">
        <v>0</v>
      </c>
    </row>
    <row r="17" customFormat="false" ht="15" hidden="false" customHeight="true" outlineLevel="0" collapsed="false">
      <c r="H17" s="37" t="s">
        <v>353</v>
      </c>
      <c r="I17" s="38"/>
      <c r="J17" s="31" t="n">
        <v>72</v>
      </c>
      <c r="K17" s="31" t="n">
        <v>72</v>
      </c>
    </row>
    <row r="18" customFormat="false" ht="15" hidden="false" customHeight="true" outlineLevel="0" collapsed="false">
      <c r="H18" s="37" t="s">
        <v>354</v>
      </c>
      <c r="I18" s="38"/>
      <c r="J18" s="31" t="n">
        <v>170</v>
      </c>
      <c r="K18" s="31" t="n">
        <v>170</v>
      </c>
    </row>
    <row r="19" customFormat="false" ht="15" hidden="false" customHeight="true" outlineLevel="0" collapsed="false">
      <c r="H19" s="37" t="s">
        <v>355</v>
      </c>
      <c r="I19" s="38"/>
      <c r="J19" s="31" t="n">
        <v>56</v>
      </c>
      <c r="K19" s="31" t="n">
        <v>56</v>
      </c>
    </row>
    <row r="20" customFormat="false" ht="15" hidden="false" customHeight="true" outlineLevel="0" collapsed="false">
      <c r="H20" s="37" t="s">
        <v>356</v>
      </c>
      <c r="I20" s="38"/>
      <c r="J20" s="31" t="n">
        <v>24</v>
      </c>
      <c r="K20" s="31" t="n">
        <v>24</v>
      </c>
    </row>
    <row r="21" customFormat="false" ht="15" hidden="false" customHeight="true" outlineLevel="0" collapsed="false">
      <c r="H21" s="37" t="s">
        <v>357</v>
      </c>
      <c r="I21" s="38"/>
      <c r="J21" s="31" t="n">
        <v>60</v>
      </c>
      <c r="K21" s="31" t="n">
        <v>60</v>
      </c>
    </row>
    <row r="22" customFormat="false" ht="15" hidden="false" customHeight="true" outlineLevel="0" collapsed="false">
      <c r="H22" s="37" t="s">
        <v>358</v>
      </c>
      <c r="I22" s="38"/>
      <c r="J22" s="31" t="n">
        <v>700</v>
      </c>
      <c r="K22" s="31" t="n">
        <v>700</v>
      </c>
    </row>
    <row r="23" customFormat="false" ht="15" hidden="false" customHeight="true" outlineLevel="0" collapsed="false">
      <c r="H23" s="37" t="s">
        <v>359</v>
      </c>
      <c r="I23" s="38"/>
      <c r="J23" s="31" t="n">
        <v>200</v>
      </c>
      <c r="K23" s="31" t="n">
        <v>200</v>
      </c>
    </row>
    <row r="25" customFormat="false" ht="15" hidden="false" customHeight="true" outlineLevel="0" collapsed="false">
      <c r="H25" s="30" t="s">
        <v>360</v>
      </c>
      <c r="I25" s="39" t="n">
        <f aca="false">I10+SUM(I12:I23)</f>
        <v>2603.72</v>
      </c>
      <c r="J25" s="39" t="n">
        <f aca="false">J10+SUM(J12:J23)</f>
        <v>1412</v>
      </c>
      <c r="K25" s="39" t="n">
        <f aca="false">K10+SUM(K12:K23)</f>
        <v>4015.72</v>
      </c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zeroHeight="false" outlineLevelRow="0" outlineLevelCol="0"/>
  <cols>
    <col collapsed="false" customWidth="true" hidden="false" outlineLevel="0" max="1" min="1" style="1" width="81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20.75"/>
    <col collapsed="false" customWidth="true" hidden="false" outlineLevel="0" max="26" min="6" style="1" width="10.63"/>
  </cols>
  <sheetData>
    <row r="1" customFormat="false" ht="14.25" hidden="false" customHeight="true" outlineLevel="0" collapsed="false">
      <c r="A1" s="40" t="s">
        <v>361</v>
      </c>
      <c r="B1" s="40" t="s">
        <v>362</v>
      </c>
      <c r="C1" s="40" t="s">
        <v>363</v>
      </c>
    </row>
    <row r="2" customFormat="false" ht="24" hidden="false" customHeight="true" outlineLevel="0" collapsed="false">
      <c r="A2" s="41" t="s">
        <v>364</v>
      </c>
      <c r="B2" s="42"/>
      <c r="C2" s="43"/>
    </row>
    <row r="3" customFormat="false" ht="31.5" hidden="false" customHeight="true" outlineLevel="0" collapsed="false">
      <c r="A3" s="44" t="s">
        <v>365</v>
      </c>
      <c r="B3" s="45"/>
      <c r="C3" s="46"/>
    </row>
    <row r="4" customFormat="false" ht="31.5" hidden="false" customHeight="true" outlineLevel="0" collapsed="false">
      <c r="A4" s="47" t="s">
        <v>366</v>
      </c>
      <c r="B4" s="48"/>
      <c r="C4" s="49"/>
    </row>
    <row r="5" customFormat="false" ht="31.5" hidden="false" customHeight="true" outlineLevel="0" collapsed="false">
      <c r="A5" s="44" t="s">
        <v>367</v>
      </c>
      <c r="B5" s="45" t="s">
        <v>368</v>
      </c>
      <c r="C5" s="46" t="s">
        <v>369</v>
      </c>
    </row>
    <row r="6" customFormat="false" ht="31.5" hidden="false" customHeight="true" outlineLevel="0" collapsed="false">
      <c r="A6" s="44" t="s">
        <v>370</v>
      </c>
      <c r="B6" s="45"/>
      <c r="C6" s="46"/>
    </row>
    <row r="7" customFormat="false" ht="31.5" hidden="false" customHeight="true" outlineLevel="0" collapsed="false">
      <c r="A7" s="44" t="s">
        <v>371</v>
      </c>
      <c r="B7" s="45" t="s">
        <v>372</v>
      </c>
      <c r="C7" s="46" t="s">
        <v>60</v>
      </c>
    </row>
    <row r="8" customFormat="false" ht="31.5" hidden="false" customHeight="true" outlineLevel="0" collapsed="false">
      <c r="A8" s="44" t="s">
        <v>373</v>
      </c>
      <c r="B8" s="45"/>
      <c r="C8" s="46"/>
    </row>
    <row r="9" customFormat="false" ht="31.5" hidden="false" customHeight="true" outlineLevel="0" collapsed="false">
      <c r="A9" s="44" t="s">
        <v>374</v>
      </c>
      <c r="B9" s="45" t="s">
        <v>375</v>
      </c>
      <c r="C9" s="46" t="s">
        <v>60</v>
      </c>
    </row>
    <row r="10" customFormat="false" ht="31.5" hidden="false" customHeight="true" outlineLevel="0" collapsed="false">
      <c r="A10" s="44" t="s">
        <v>376</v>
      </c>
      <c r="B10" s="45"/>
      <c r="C10" s="46"/>
    </row>
    <row r="11" customFormat="false" ht="31.5" hidden="false" customHeight="true" outlineLevel="0" collapsed="false">
      <c r="A11" s="44"/>
      <c r="B11" s="45"/>
      <c r="C11" s="46"/>
    </row>
    <row r="12" customFormat="false" ht="24" hidden="false" customHeight="true" outlineLevel="0" collapsed="false">
      <c r="A12" s="41" t="s">
        <v>377</v>
      </c>
      <c r="B12" s="42"/>
      <c r="C12" s="43"/>
    </row>
    <row r="13" customFormat="false" ht="31.5" hidden="false" customHeight="true" outlineLevel="0" collapsed="false">
      <c r="A13" s="44" t="s">
        <v>378</v>
      </c>
      <c r="B13" s="45"/>
      <c r="C13" s="46"/>
    </row>
    <row r="14" customFormat="false" ht="31.5" hidden="false" customHeight="true" outlineLevel="0" collapsed="false">
      <c r="A14" s="44" t="s">
        <v>379</v>
      </c>
      <c r="B14" s="45" t="s">
        <v>380</v>
      </c>
      <c r="C14" s="46" t="s">
        <v>369</v>
      </c>
    </row>
    <row r="15" customFormat="false" ht="31.5" hidden="false" customHeight="true" outlineLevel="0" collapsed="false">
      <c r="A15" s="44" t="s">
        <v>381</v>
      </c>
      <c r="B15" s="45"/>
      <c r="C15" s="46"/>
    </row>
    <row r="16" customFormat="false" ht="31.5" hidden="false" customHeight="true" outlineLevel="0" collapsed="false">
      <c r="A16" s="44" t="s">
        <v>382</v>
      </c>
      <c r="B16" s="45" t="s">
        <v>383</v>
      </c>
      <c r="C16" s="46" t="s">
        <v>60</v>
      </c>
    </row>
    <row r="17" customFormat="false" ht="31.5" hidden="false" customHeight="true" outlineLevel="0" collapsed="false">
      <c r="A17" s="44" t="s">
        <v>384</v>
      </c>
      <c r="B17" s="45"/>
      <c r="C17" s="46"/>
    </row>
    <row r="18" customFormat="false" ht="31.5" hidden="false" customHeight="true" outlineLevel="0" collapsed="false">
      <c r="A18" s="44" t="s">
        <v>385</v>
      </c>
      <c r="B18" s="45" t="s">
        <v>386</v>
      </c>
      <c r="C18" s="46" t="s">
        <v>60</v>
      </c>
    </row>
    <row r="19" customFormat="false" ht="31.5" hidden="false" customHeight="true" outlineLevel="0" collapsed="false">
      <c r="A19" s="44" t="s">
        <v>387</v>
      </c>
      <c r="B19" s="45"/>
      <c r="C19" s="46"/>
    </row>
    <row r="20" customFormat="false" ht="31.5" hidden="false" customHeight="true" outlineLevel="0" collapsed="false">
      <c r="A20" s="44"/>
      <c r="B20" s="45"/>
      <c r="C20" s="46"/>
    </row>
    <row r="21" customFormat="false" ht="24" hidden="false" customHeight="true" outlineLevel="0" collapsed="false">
      <c r="A21" s="41" t="s">
        <v>388</v>
      </c>
      <c r="B21" s="42"/>
      <c r="C21" s="43"/>
    </row>
    <row r="22" customFormat="false" ht="31.5" hidden="false" customHeight="true" outlineLevel="0" collapsed="false">
      <c r="A22" s="44" t="s">
        <v>389</v>
      </c>
      <c r="B22" s="45" t="s">
        <v>390</v>
      </c>
      <c r="C22" s="46" t="s">
        <v>369</v>
      </c>
    </row>
    <row r="23" customFormat="false" ht="31.5" hidden="false" customHeight="true" outlineLevel="0" collapsed="false">
      <c r="A23" s="44" t="s">
        <v>391</v>
      </c>
      <c r="B23" s="45"/>
      <c r="C23" s="46"/>
    </row>
    <row r="24" customFormat="false" ht="31.5" hidden="false" customHeight="true" outlineLevel="0" collapsed="false">
      <c r="A24" s="44"/>
      <c r="B24" s="45"/>
      <c r="C24" s="46"/>
    </row>
    <row r="25" customFormat="false" ht="24" hidden="false" customHeight="true" outlineLevel="0" collapsed="false">
      <c r="A25" s="41" t="s">
        <v>392</v>
      </c>
      <c r="B25" s="42"/>
      <c r="C25" s="43"/>
    </row>
    <row r="26" customFormat="false" ht="31.5" hidden="false" customHeight="true" outlineLevel="0" collapsed="false">
      <c r="A26" s="44" t="s">
        <v>393</v>
      </c>
      <c r="B26" s="45" t="s">
        <v>394</v>
      </c>
      <c r="C26" s="46" t="s">
        <v>369</v>
      </c>
    </row>
    <row r="27" customFormat="false" ht="31.5" hidden="false" customHeight="true" outlineLevel="0" collapsed="false">
      <c r="A27" s="44" t="s">
        <v>395</v>
      </c>
      <c r="B27" s="45" t="s">
        <v>394</v>
      </c>
      <c r="C27" s="46" t="s">
        <v>369</v>
      </c>
    </row>
    <row r="28" customFormat="false" ht="31.5" hidden="false" customHeight="true" outlineLevel="0" collapsed="false">
      <c r="A28" s="44"/>
      <c r="B28" s="45"/>
      <c r="C28" s="46"/>
    </row>
    <row r="29" customFormat="false" ht="24" hidden="false" customHeight="true" outlineLevel="0" collapsed="false">
      <c r="A29" s="41" t="s">
        <v>396</v>
      </c>
      <c r="B29" s="42"/>
      <c r="C29" s="43"/>
    </row>
    <row r="30" customFormat="false" ht="31.5" hidden="false" customHeight="true" outlineLevel="0" collapsed="false">
      <c r="A30" s="44" t="s">
        <v>397</v>
      </c>
      <c r="B30" s="45" t="s">
        <v>398</v>
      </c>
      <c r="C30" s="46" t="s">
        <v>369</v>
      </c>
    </row>
    <row r="31" customFormat="false" ht="31.5" hidden="false" customHeight="true" outlineLevel="0" collapsed="false">
      <c r="A31" s="44" t="s">
        <v>399</v>
      </c>
      <c r="B31" s="45"/>
      <c r="C31" s="46"/>
    </row>
    <row r="32" customFormat="false" ht="31.5" hidden="false" customHeight="true" outlineLevel="0" collapsed="false">
      <c r="A32" s="44"/>
      <c r="B32" s="45"/>
      <c r="C32" s="46"/>
    </row>
    <row r="33" customFormat="false" ht="24" hidden="false" customHeight="true" outlineLevel="0" collapsed="false">
      <c r="A33" s="41" t="s">
        <v>400</v>
      </c>
      <c r="B33" s="42"/>
      <c r="C33" s="43"/>
    </row>
    <row r="34" customFormat="false" ht="31.5" hidden="false" customHeight="true" outlineLevel="0" collapsed="false">
      <c r="A34" s="44" t="s">
        <v>401</v>
      </c>
      <c r="B34" s="45" t="s">
        <v>402</v>
      </c>
      <c r="C34" s="46" t="s">
        <v>369</v>
      </c>
    </row>
    <row r="35" customFormat="false" ht="31.5" hidden="false" customHeight="true" outlineLevel="0" collapsed="false">
      <c r="A35" s="44" t="s">
        <v>403</v>
      </c>
      <c r="B35" s="45" t="s">
        <v>404</v>
      </c>
      <c r="C35" s="46" t="s">
        <v>369</v>
      </c>
    </row>
    <row r="36" customFormat="false" ht="31.5" hidden="false" customHeight="true" outlineLevel="0" collapsed="false">
      <c r="A36" s="44" t="s">
        <v>405</v>
      </c>
      <c r="B36" s="45" t="s">
        <v>406</v>
      </c>
      <c r="C36" s="46" t="s">
        <v>369</v>
      </c>
    </row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2025-07-10T16:43:14Z</dcterms:created>
  <dc:creator>sanchez gonzalez, ignacio (ext)</dc:creator>
  <dc:description/>
  <dc:language>en-US</dc:language>
  <cp:lastModifiedBy/>
  <dcterms:modified xsi:type="dcterms:W3CDTF">2026-06-06T05:02:17Z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